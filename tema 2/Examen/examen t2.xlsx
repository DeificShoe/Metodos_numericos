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uela\4to\Metodos numericos\"/>
    </mc:Choice>
  </mc:AlternateContent>
  <xr:revisionPtr revIDLastSave="0" documentId="8_{3128E865-557E-4237-8C93-F36E51BFF20E}" xr6:coauthVersionLast="47" xr6:coauthVersionMax="47" xr10:uidLastSave="{00000000-0000-0000-0000-000000000000}"/>
  <bookViews>
    <workbookView xWindow="-108" yWindow="-108" windowWidth="23256" windowHeight="13176" xr2:uid="{26719587-F209-4A42-A0C8-81C77DBD6023}"/>
  </bookViews>
  <sheets>
    <sheet name="Sangrado de implantacion" sheetId="1" r:id="rId1"/>
    <sheet name="Newt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K20" i="1"/>
  <c r="K21" i="1"/>
  <c r="J20" i="1"/>
  <c r="J21" i="1"/>
  <c r="I20" i="1"/>
  <c r="D21" i="1" s="1"/>
  <c r="F21" i="1" s="1"/>
  <c r="H20" i="1"/>
  <c r="G20" i="1"/>
  <c r="F20" i="1"/>
  <c r="E20" i="1"/>
  <c r="D20" i="1"/>
  <c r="C20" i="1"/>
  <c r="K15" i="1"/>
  <c r="K16" i="1"/>
  <c r="K17" i="1"/>
  <c r="K18" i="1"/>
  <c r="K19" i="1"/>
  <c r="J15" i="1"/>
  <c r="J16" i="1"/>
  <c r="J17" i="1"/>
  <c r="J18" i="1"/>
  <c r="J19" i="1"/>
  <c r="K14" i="1"/>
  <c r="J14" i="1"/>
  <c r="G15" i="1"/>
  <c r="H14" i="1"/>
  <c r="I14" i="1" s="1"/>
  <c r="F14" i="1"/>
  <c r="E14" i="1"/>
  <c r="D10" i="2"/>
  <c r="F10" i="2" s="1"/>
  <c r="G7" i="2"/>
  <c r="G8" i="2"/>
  <c r="G9" i="2"/>
  <c r="G10" i="2"/>
  <c r="G6" i="2"/>
  <c r="E6" i="2"/>
  <c r="D6" i="2"/>
  <c r="C6" i="2"/>
  <c r="F5" i="2"/>
  <c r="E5" i="2"/>
  <c r="D5" i="2"/>
  <c r="C21" i="1" l="1"/>
  <c r="E21" i="1"/>
  <c r="C15" i="1"/>
  <c r="E15" i="1" s="1"/>
  <c r="D15" i="1"/>
  <c r="F15" i="1" s="1"/>
  <c r="H15" i="1"/>
  <c r="I15" i="1" s="1"/>
  <c r="G11" i="2"/>
  <c r="C11" i="2"/>
  <c r="E11" i="2"/>
  <c r="F6" i="2"/>
  <c r="C7" i="2" s="1"/>
  <c r="E7" i="2" s="1"/>
  <c r="E5" i="1"/>
  <c r="F5" i="1"/>
  <c r="F2" i="1"/>
  <c r="G21" i="1" l="1"/>
  <c r="H21" i="1" s="1"/>
  <c r="I21" i="1"/>
  <c r="D16" i="1"/>
  <c r="F16" i="1" s="1"/>
  <c r="C16" i="1"/>
  <c r="E16" i="1"/>
  <c r="D11" i="2"/>
  <c r="F11" i="2" s="1"/>
  <c r="C12" i="2" s="1"/>
  <c r="E12" i="2" s="1"/>
  <c r="D7" i="2"/>
  <c r="F7" i="2" s="1"/>
  <c r="C8" i="2" s="1"/>
  <c r="E8" i="2" s="1"/>
  <c r="G16" i="1" l="1"/>
  <c r="H16" i="1"/>
  <c r="I16" i="1" s="1"/>
  <c r="C17" i="1"/>
  <c r="D17" i="1"/>
  <c r="F17" i="1" s="1"/>
  <c r="E17" i="1"/>
  <c r="D12" i="2"/>
  <c r="F12" i="2" s="1"/>
  <c r="C13" i="2" s="1"/>
  <c r="G12" i="2"/>
  <c r="G13" i="2"/>
  <c r="E13" i="2"/>
  <c r="F13" i="2" s="1"/>
  <c r="C14" i="2" s="1"/>
  <c r="D13" i="2"/>
  <c r="D8" i="2"/>
  <c r="F8" i="2" s="1"/>
  <c r="C9" i="2" s="1"/>
  <c r="E9" i="2" s="1"/>
  <c r="G17" i="1" l="1"/>
  <c r="H17" i="1"/>
  <c r="I17" i="1" s="1"/>
  <c r="G14" i="2"/>
  <c r="E14" i="2"/>
  <c r="D14" i="2"/>
  <c r="F14" i="2" s="1"/>
  <c r="D9" i="2"/>
  <c r="F9" i="2" s="1"/>
  <c r="C10" i="2" s="1"/>
  <c r="C18" i="1" l="1"/>
  <c r="D18" i="1"/>
  <c r="F18" i="1" s="1"/>
  <c r="E10" i="2"/>
  <c r="E18" i="1" l="1"/>
  <c r="G18" i="1"/>
  <c r="H18" i="1" s="1"/>
  <c r="I18" i="1" l="1"/>
  <c r="D19" i="1" s="1"/>
  <c r="F19" i="1" s="1"/>
  <c r="C19" i="1"/>
  <c r="E19" i="1" l="1"/>
  <c r="G19" i="1"/>
  <c r="H19" i="1" s="1"/>
  <c r="I19" i="1" s="1"/>
</calcChain>
</file>

<file path=xl/sharedStrings.xml><?xml version="1.0" encoding="utf-8"?>
<sst xmlns="http://schemas.openxmlformats.org/spreadsheetml/2006/main" count="30" uniqueCount="21">
  <si>
    <t>2cos(x) - x^2</t>
  </si>
  <si>
    <t>iter</t>
  </si>
  <si>
    <t>b</t>
  </si>
  <si>
    <t>a</t>
  </si>
  <si>
    <t>fa</t>
  </si>
  <si>
    <t>fb</t>
  </si>
  <si>
    <t>c</t>
  </si>
  <si>
    <t>fc</t>
  </si>
  <si>
    <t>error</t>
  </si>
  <si>
    <t>No se puede aplicar el sangrado de implantacion porque f(a) * f(b) &gt; 0</t>
  </si>
  <si>
    <t>iteracion</t>
  </si>
  <si>
    <t>x0</t>
  </si>
  <si>
    <t>f(x)</t>
  </si>
  <si>
    <t>f'(x0)</t>
  </si>
  <si>
    <t>formula newton</t>
  </si>
  <si>
    <t>-2sen(x)-2x</t>
  </si>
  <si>
    <t>Este metodo no encuentra la raiz porque al sacar las 2 tangentes no convergen en algun punto del eje X</t>
  </si>
  <si>
    <t>fa*fc</t>
  </si>
  <si>
    <t>error abs</t>
  </si>
  <si>
    <t>ERROR</t>
  </si>
  <si>
    <t>tomo ese valor porque a partir de esa iteracion, tomando 4 cifras significativas los valores isguientes ya no cambian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</si>
</sst>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3737-610C-4BBB-A63D-404D5BDAC701}">
  <dimension ref="B2:K24"/>
  <sheetViews>
    <sheetView tabSelected="1" workbookViewId="0">
      <selection activeCell="H14" sqref="H14"/>
    </sheetView>
  </sheetViews>
  <sheetFormatPr baseColWidth="10" defaultRowHeight="14.4" x14ac:dyDescent="0.3"/>
  <sheetData>
    <row r="2" spans="2:11" x14ac:dyDescent="0.3">
      <c r="B2" t="s">
        <v>0</v>
      </c>
      <c r="F2">
        <f>E5*F5</f>
        <v>23.351062143027058</v>
      </c>
    </row>
    <row r="4" spans="2:11" x14ac:dyDescent="0.3">
      <c r="B4" t="s">
        <v>1</v>
      </c>
      <c r="C4" t="s">
        <v>3</v>
      </c>
      <c r="D4" t="s">
        <v>2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2:11" x14ac:dyDescent="0.3">
      <c r="B5">
        <v>1</v>
      </c>
      <c r="C5">
        <v>-2</v>
      </c>
      <c r="D5">
        <v>2</v>
      </c>
      <c r="E5">
        <f>2 *COS(-2)- 4</f>
        <v>-4.8322936730942851</v>
      </c>
      <c r="F5">
        <f>2 *COS(2)- POWER(2,2)</f>
        <v>-4.8322936730942851</v>
      </c>
    </row>
    <row r="6" spans="2:11" x14ac:dyDescent="0.3">
      <c r="B6">
        <v>2</v>
      </c>
    </row>
    <row r="9" spans="2:11" x14ac:dyDescent="0.3">
      <c r="C9" s="2" t="s">
        <v>9</v>
      </c>
    </row>
    <row r="11" spans="2:11" x14ac:dyDescent="0.3">
      <c r="C11" t="s">
        <v>16</v>
      </c>
    </row>
    <row r="13" spans="2:11" x14ac:dyDescent="0.3">
      <c r="B13" t="s">
        <v>1</v>
      </c>
      <c r="C13" t="s">
        <v>3</v>
      </c>
      <c r="D13" t="s">
        <v>2</v>
      </c>
      <c r="E13" t="s">
        <v>4</v>
      </c>
      <c r="F13" t="s">
        <v>5</v>
      </c>
      <c r="G13" t="s">
        <v>6</v>
      </c>
      <c r="H13" t="s">
        <v>7</v>
      </c>
      <c r="I13" t="s">
        <v>17</v>
      </c>
      <c r="J13" t="s">
        <v>18</v>
      </c>
      <c r="K13" t="s">
        <v>19</v>
      </c>
    </row>
    <row r="14" spans="2:11" x14ac:dyDescent="0.3">
      <c r="B14">
        <v>1</v>
      </c>
      <c r="C14">
        <v>0</v>
      </c>
      <c r="D14">
        <v>2</v>
      </c>
      <c r="E14">
        <f>2 *COS(C14)- POWER(C14,2)</f>
        <v>2</v>
      </c>
      <c r="F14">
        <f>2 *COS(D14)- POWER(D14,2)</f>
        <v>-4.8322936730942851</v>
      </c>
      <c r="G14">
        <f>((C14*F14)-(D14*E14))/(F14-E14)</f>
        <v>0.58545492793321863</v>
      </c>
      <c r="H14">
        <f>2*COS(G14)-POWER(G14,2)</f>
        <v>1.3241641047580885</v>
      </c>
      <c r="I14">
        <f>E14*H14</f>
        <v>2.6483282095161771</v>
      </c>
      <c r="J14">
        <f>ABS(G15-G14)</f>
        <v>0.30424797449787544</v>
      </c>
      <c r="K14">
        <f>J14*100</f>
        <v>30.424797449787544</v>
      </c>
    </row>
    <row r="15" spans="2:11" x14ac:dyDescent="0.3">
      <c r="B15">
        <v>2</v>
      </c>
      <c r="C15">
        <f>IF(I14&lt;0,C14,G14)</f>
        <v>0.58545492793321863</v>
      </c>
      <c r="D15">
        <f>IF(I14&lt;0,G14,D14)</f>
        <v>2</v>
      </c>
      <c r="E15">
        <f t="shared" ref="E15:E21" si="0">2 *COS(C15)- POWER(C15,2)</f>
        <v>1.3241641047580885</v>
      </c>
      <c r="F15">
        <f t="shared" ref="F15:F21" si="1">2 *COS(D15)- POWER(D15,2)</f>
        <v>-4.8322936730942851</v>
      </c>
      <c r="G15">
        <f t="shared" ref="G15:G21" si="2">((C15*F15)-(D15*E15))/(F15-E15)</f>
        <v>0.88970290243109407</v>
      </c>
      <c r="H15">
        <f t="shared" ref="H15:H21" si="3">2*COS(G15)-POWER(G15,2)</f>
        <v>0.46771447524411058</v>
      </c>
      <c r="I15">
        <f t="shared" ref="I15:I21" si="4">E15*H15</f>
        <v>0.61933071939401685</v>
      </c>
      <c r="J15">
        <f t="shared" ref="J15:J21" si="5">ABS(G16-G15)</f>
        <v>9.7981363390414078E-2</v>
      </c>
      <c r="K15">
        <f t="shared" ref="K15:K21" si="6">J15*100</f>
        <v>9.7981363390414078</v>
      </c>
    </row>
    <row r="16" spans="2:11" x14ac:dyDescent="0.3">
      <c r="B16">
        <v>3</v>
      </c>
      <c r="C16">
        <f t="shared" ref="C16:C21" si="7">IF(I15&lt;0,C15,G15)</f>
        <v>0.88970290243109407</v>
      </c>
      <c r="D16">
        <f t="shared" ref="D16:D21" si="8">IF(I15&lt;0,G15,D15)</f>
        <v>2</v>
      </c>
      <c r="E16">
        <f t="shared" si="0"/>
        <v>0.46771447524411058</v>
      </c>
      <c r="F16">
        <f t="shared" si="1"/>
        <v>-4.8322936730942851</v>
      </c>
      <c r="G16">
        <f t="shared" si="2"/>
        <v>0.98768426582150814</v>
      </c>
      <c r="H16">
        <f t="shared" si="3"/>
        <v>0.12572859420007265</v>
      </c>
      <c r="I16">
        <f t="shared" si="4"/>
        <v>5.8805083459466709E-2</v>
      </c>
      <c r="J16">
        <f t="shared" si="5"/>
        <v>2.5670928302291118E-2</v>
      </c>
      <c r="K16">
        <f t="shared" si="6"/>
        <v>2.5670928302291118</v>
      </c>
    </row>
    <row r="17" spans="2:11" x14ac:dyDescent="0.3">
      <c r="B17">
        <v>4</v>
      </c>
      <c r="C17">
        <f t="shared" si="7"/>
        <v>0.98768426582150814</v>
      </c>
      <c r="D17">
        <f t="shared" si="8"/>
        <v>2</v>
      </c>
      <c r="E17">
        <f t="shared" si="0"/>
        <v>0.12572859420007265</v>
      </c>
      <c r="F17">
        <f t="shared" si="1"/>
        <v>-4.8322936730942851</v>
      </c>
      <c r="G17">
        <f t="shared" si="2"/>
        <v>1.0133551941237993</v>
      </c>
      <c r="H17">
        <f t="shared" si="3"/>
        <v>3.1144146170198894E-2</v>
      </c>
      <c r="I17">
        <f t="shared" si="4"/>
        <v>3.9157097155406839E-3</v>
      </c>
      <c r="J17">
        <f t="shared" si="5"/>
        <v>6.318207653557284E-3</v>
      </c>
      <c r="K17">
        <f t="shared" si="6"/>
        <v>0.6318207653557284</v>
      </c>
    </row>
    <row r="18" spans="2:11" x14ac:dyDescent="0.3">
      <c r="B18">
        <v>5</v>
      </c>
      <c r="C18">
        <f t="shared" si="7"/>
        <v>1.0133551941237993</v>
      </c>
      <c r="D18">
        <f t="shared" si="8"/>
        <v>2</v>
      </c>
      <c r="E18">
        <f t="shared" si="0"/>
        <v>3.1144146170198894E-2</v>
      </c>
      <c r="F18">
        <f t="shared" si="1"/>
        <v>-4.8322936730942851</v>
      </c>
      <c r="G18">
        <f t="shared" si="2"/>
        <v>1.0196734017773565</v>
      </c>
      <c r="H18">
        <f t="shared" si="3"/>
        <v>7.5545943065746801E-3</v>
      </c>
      <c r="I18">
        <f t="shared" si="4"/>
        <v>2.352813893405142E-4</v>
      </c>
      <c r="J18">
        <f t="shared" si="5"/>
        <v>1.5302070082239272E-3</v>
      </c>
      <c r="K18">
        <f t="shared" si="6"/>
        <v>0.15302070082239272</v>
      </c>
    </row>
    <row r="19" spans="2:11" x14ac:dyDescent="0.3">
      <c r="B19">
        <v>6</v>
      </c>
      <c r="C19">
        <f t="shared" si="7"/>
        <v>1.0196734017773565</v>
      </c>
      <c r="D19">
        <f t="shared" si="8"/>
        <v>2</v>
      </c>
      <c r="E19">
        <f t="shared" si="0"/>
        <v>7.5545943065746801E-3</v>
      </c>
      <c r="F19">
        <f t="shared" si="1"/>
        <v>-4.8322936730942851</v>
      </c>
      <c r="G19">
        <f t="shared" si="2"/>
        <v>1.0212036087855805</v>
      </c>
      <c r="H19">
        <f t="shared" si="3"/>
        <v>1.8231248122866361E-3</v>
      </c>
      <c r="I19">
        <f t="shared" si="4"/>
        <v>1.3772968327075655E-5</v>
      </c>
      <c r="J19">
        <f t="shared" si="5"/>
        <v>3.691404369403628E-4</v>
      </c>
      <c r="K19">
        <f t="shared" si="6"/>
        <v>3.691404369403628E-2</v>
      </c>
    </row>
    <row r="20" spans="2:11" x14ac:dyDescent="0.3">
      <c r="B20">
        <v>7</v>
      </c>
      <c r="C20">
        <f t="shared" si="7"/>
        <v>1.0212036087855805</v>
      </c>
      <c r="D20">
        <f t="shared" si="8"/>
        <v>2</v>
      </c>
      <c r="E20">
        <f t="shared" si="0"/>
        <v>1.8231248122866361E-3</v>
      </c>
      <c r="F20">
        <f t="shared" si="1"/>
        <v>-4.8322936730942851</v>
      </c>
      <c r="G20" s="2">
        <f t="shared" si="2"/>
        <v>1.0215727492225208</v>
      </c>
      <c r="H20">
        <f t="shared" si="3"/>
        <v>4.394226297543824E-4</v>
      </c>
      <c r="I20">
        <f t="shared" si="4"/>
        <v>8.0112229938545837E-7</v>
      </c>
      <c r="J20">
        <f t="shared" si="5"/>
        <v>8.8964788049317178E-5</v>
      </c>
      <c r="K20">
        <f t="shared" si="6"/>
        <v>8.8964788049317178E-3</v>
      </c>
    </row>
    <row r="21" spans="2:11" x14ac:dyDescent="0.3">
      <c r="B21">
        <v>8</v>
      </c>
      <c r="C21">
        <f t="shared" si="7"/>
        <v>1.0215727492225208</v>
      </c>
      <c r="D21">
        <f t="shared" si="8"/>
        <v>2</v>
      </c>
      <c r="E21">
        <f t="shared" si="0"/>
        <v>4.394226297543824E-4</v>
      </c>
      <c r="F21">
        <f t="shared" si="1"/>
        <v>-4.8322936730942851</v>
      </c>
      <c r="G21">
        <f t="shared" si="2"/>
        <v>1.0216617140105702</v>
      </c>
      <c r="H21">
        <f t="shared" si="3"/>
        <v>1.0588108774944871E-4</v>
      </c>
      <c r="I21">
        <f t="shared" si="4"/>
        <v>4.6526546020117275E-8</v>
      </c>
      <c r="J21">
        <f t="shared" si="5"/>
        <v>1.0216617140105702</v>
      </c>
      <c r="K21">
        <f t="shared" si="6"/>
        <v>102.16617140105701</v>
      </c>
    </row>
    <row r="24" spans="2:11" x14ac:dyDescent="0.3">
      <c r="C2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0431-34FC-45FB-9119-00F478F9E469}">
  <dimension ref="B2:G14"/>
  <sheetViews>
    <sheetView workbookViewId="0">
      <selection activeCell="D5" sqref="D5"/>
    </sheetView>
  </sheetViews>
  <sheetFormatPr baseColWidth="10" defaultRowHeight="14.4" x14ac:dyDescent="0.3"/>
  <sheetData>
    <row r="2" spans="2:7" x14ac:dyDescent="0.3">
      <c r="B2" t="s">
        <v>0</v>
      </c>
      <c r="D2" s="1" t="s">
        <v>15</v>
      </c>
    </row>
    <row r="4" spans="2:7" x14ac:dyDescent="0.3"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8</v>
      </c>
    </row>
    <row r="5" spans="2:7" x14ac:dyDescent="0.3">
      <c r="B5">
        <v>1</v>
      </c>
      <c r="C5">
        <v>2</v>
      </c>
      <c r="D5">
        <f>2 *COS(C5)- POWER(C5,2)</f>
        <v>-4.8322936730942851</v>
      </c>
      <c r="E5">
        <f>-2*SIN(C5)-(2*C5)</f>
        <v>-5.8185948536513639</v>
      </c>
      <c r="F5">
        <f>C5-((D5)/(E5))</f>
        <v>1.169508481921222</v>
      </c>
    </row>
    <row r="6" spans="2:7" x14ac:dyDescent="0.3">
      <c r="B6">
        <v>2</v>
      </c>
      <c r="C6">
        <f>F5</f>
        <v>1.169508481921222</v>
      </c>
      <c r="D6">
        <f t="shared" ref="D6:D14" si="0">2 *COS(C6)- POWER(C6,2)</f>
        <v>-0.58654168383275218</v>
      </c>
      <c r="E6">
        <f t="shared" ref="E6:E14" si="1">-2*SIN(C6)-(2*C6)</f>
        <v>-4.1801344036733994</v>
      </c>
      <c r="F6">
        <f t="shared" ref="F6:F14" si="2">C6-((D6)/(E6))</f>
        <v>1.0291920166618003</v>
      </c>
      <c r="G6">
        <f>((C5-F5)/C5)*100</f>
        <v>41.524575903938896</v>
      </c>
    </row>
    <row r="7" spans="2:7" x14ac:dyDescent="0.3">
      <c r="B7">
        <v>3</v>
      </c>
      <c r="C7">
        <f t="shared" ref="C7:C14" si="3">F6</f>
        <v>1.0291920166618003</v>
      </c>
      <c r="D7">
        <f t="shared" si="0"/>
        <v>-2.8213486865779958E-2</v>
      </c>
      <c r="E7">
        <f t="shared" si="1"/>
        <v>-3.7721495220169388</v>
      </c>
      <c r="F7">
        <f t="shared" si="2"/>
        <v>1.0217125976459034</v>
      </c>
      <c r="G7">
        <f t="shared" ref="G7:G14" si="4">((C6-F6)/C6)*100</f>
        <v>11.9979006076908</v>
      </c>
    </row>
    <row r="8" spans="2:7" x14ac:dyDescent="0.3">
      <c r="B8">
        <v>4</v>
      </c>
      <c r="C8" s="2">
        <f t="shared" si="3"/>
        <v>1.0217125976459034</v>
      </c>
      <c r="D8">
        <f t="shared" si="0"/>
        <v>-8.4899670301119556E-5</v>
      </c>
      <c r="E8">
        <f t="shared" si="1"/>
        <v>-3.7494313696820667</v>
      </c>
      <c r="F8">
        <f t="shared" si="2"/>
        <v>1.0216899543003051</v>
      </c>
      <c r="G8">
        <f t="shared" si="4"/>
        <v>0.72672726709992264</v>
      </c>
    </row>
    <row r="9" spans="2:7" x14ac:dyDescent="0.3">
      <c r="B9">
        <v>5</v>
      </c>
      <c r="C9">
        <f t="shared" si="3"/>
        <v>1.0216899543003051</v>
      </c>
      <c r="D9">
        <f t="shared" si="0"/>
        <v>-7.8031670014411247E-10</v>
      </c>
      <c r="E9">
        <f t="shared" si="1"/>
        <v>-3.7493624471637208</v>
      </c>
      <c r="F9">
        <f t="shared" si="2"/>
        <v>1.0216899540921853</v>
      </c>
      <c r="G9">
        <f t="shared" si="4"/>
        <v>2.2162147800162627E-3</v>
      </c>
    </row>
    <row r="10" spans="2:7" x14ac:dyDescent="0.3">
      <c r="B10">
        <v>6</v>
      </c>
      <c r="C10">
        <f t="shared" si="3"/>
        <v>1.0216899540921853</v>
      </c>
      <c r="D10">
        <f>2 *COS(C10)- POWER(C10,2)</f>
        <v>0</v>
      </c>
      <c r="E10">
        <f t="shared" si="1"/>
        <v>-3.7493624465302355</v>
      </c>
      <c r="F10">
        <f t="shared" si="2"/>
        <v>1.0216899540921853</v>
      </c>
      <c r="G10">
        <f t="shared" si="4"/>
        <v>2.0370146812640594E-8</v>
      </c>
    </row>
    <row r="11" spans="2:7" x14ac:dyDescent="0.3">
      <c r="B11">
        <v>7</v>
      </c>
      <c r="C11">
        <f t="shared" si="3"/>
        <v>1.0216899540921853</v>
      </c>
      <c r="D11">
        <f t="shared" si="0"/>
        <v>0</v>
      </c>
      <c r="E11">
        <f t="shared" si="1"/>
        <v>-3.7493624465302355</v>
      </c>
      <c r="F11">
        <f t="shared" si="2"/>
        <v>1.0216899540921853</v>
      </c>
      <c r="G11">
        <f t="shared" si="4"/>
        <v>0</v>
      </c>
    </row>
    <row r="12" spans="2:7" x14ac:dyDescent="0.3">
      <c r="B12">
        <v>8</v>
      </c>
      <c r="C12">
        <f t="shared" si="3"/>
        <v>1.0216899540921853</v>
      </c>
      <c r="D12">
        <f t="shared" si="0"/>
        <v>0</v>
      </c>
      <c r="E12">
        <f t="shared" si="1"/>
        <v>-3.7493624465302355</v>
      </c>
      <c r="F12">
        <f t="shared" si="2"/>
        <v>1.0216899540921853</v>
      </c>
      <c r="G12">
        <f t="shared" si="4"/>
        <v>0</v>
      </c>
    </row>
    <row r="13" spans="2:7" x14ac:dyDescent="0.3">
      <c r="B13">
        <v>9</v>
      </c>
      <c r="C13">
        <f t="shared" si="3"/>
        <v>1.0216899540921853</v>
      </c>
      <c r="D13">
        <f t="shared" si="0"/>
        <v>0</v>
      </c>
      <c r="E13">
        <f t="shared" si="1"/>
        <v>-3.7493624465302355</v>
      </c>
      <c r="F13">
        <f t="shared" si="2"/>
        <v>1.0216899540921853</v>
      </c>
      <c r="G13">
        <f t="shared" si="4"/>
        <v>0</v>
      </c>
    </row>
    <row r="14" spans="2:7" x14ac:dyDescent="0.3">
      <c r="B14">
        <v>10</v>
      </c>
      <c r="C14">
        <f t="shared" si="3"/>
        <v>1.0216899540921853</v>
      </c>
      <c r="D14">
        <f t="shared" si="0"/>
        <v>0</v>
      </c>
      <c r="E14">
        <f t="shared" si="1"/>
        <v>-3.7493624465302355</v>
      </c>
      <c r="F14">
        <f t="shared" si="2"/>
        <v>1.0216899540921853</v>
      </c>
      <c r="G1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Sangrado de implantacion</vt:lpstr>
      <vt:lpstr>Newton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Islas quintos</dc:creator>
  <cp:lastModifiedBy>Emanuel Islas quintos</cp:lastModifiedBy>
  <dcterms:created xsi:type="dcterms:W3CDTF">2026-02-24T16:30:18Z</dcterms:created>
  <dcterms:modified xsi:type="dcterms:W3CDTF">2026-02-24T17:26:45Z</dcterms:modified>
</cp:coreProperties>
</file>