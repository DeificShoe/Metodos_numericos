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scuela\4to\Metodos numericos\"/>
    </mc:Choice>
  </mc:AlternateContent>
  <xr:revisionPtr revIDLastSave="0" documentId="13_ncr:1_{F4030845-DEBE-4E83-8DAA-0EDCABFB9980}" xr6:coauthVersionLast="47" xr6:coauthVersionMax="47" xr10:uidLastSave="{00000000-0000-0000-0000-000000000000}"/>
  <bookViews>
    <workbookView xWindow="-120" yWindow="-120" windowWidth="29040" windowHeight="16440" activeTab="4" xr2:uid="{0EBF20CA-A092-4C00-AA4E-CBAC2A6F1985}"/>
  </bookViews>
  <sheets>
    <sheet name="Menu" sheetId="5" r:id="rId1"/>
    <sheet name="Biseccion" sheetId="1" r:id="rId2"/>
    <sheet name="Falsa posicion" sheetId="2" r:id="rId3"/>
    <sheet name="Newton" sheetId="3" r:id="rId4"/>
    <sheet name="Secante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4" l="1"/>
  <c r="G53" i="4"/>
  <c r="G54" i="4"/>
  <c r="G51" i="4"/>
  <c r="D54" i="4"/>
  <c r="F54" i="4" s="1"/>
  <c r="E54" i="4"/>
  <c r="B52" i="4"/>
  <c r="C53" i="4" s="1"/>
  <c r="C52" i="4"/>
  <c r="D52" i="4" s="1"/>
  <c r="D51" i="4"/>
  <c r="E51" i="4"/>
  <c r="F51" i="4"/>
  <c r="B51" i="4"/>
  <c r="C51" i="4"/>
  <c r="F50" i="4"/>
  <c r="E50" i="4"/>
  <c r="D50" i="4"/>
  <c r="N55" i="3"/>
  <c r="M55" i="3"/>
  <c r="J60" i="2"/>
  <c r="L60" i="2" s="1"/>
  <c r="K60" i="2"/>
  <c r="U51" i="2"/>
  <c r="T51" i="2"/>
  <c r="V51" i="2" s="1"/>
  <c r="M51" i="2"/>
  <c r="L51" i="2"/>
  <c r="N51" i="2" s="1"/>
  <c r="D51" i="2"/>
  <c r="B52" i="2" s="1"/>
  <c r="E51" i="2"/>
  <c r="Z54" i="1"/>
  <c r="AA54" i="1" s="1"/>
  <c r="Y54" i="1"/>
  <c r="X54" i="1"/>
  <c r="P54" i="1"/>
  <c r="Q54" i="1" s="1"/>
  <c r="O54" i="1"/>
  <c r="N54" i="1"/>
  <c r="G55" i="3"/>
  <c r="F55" i="3"/>
  <c r="D54" i="1"/>
  <c r="E54" i="1"/>
  <c r="F54" i="1"/>
  <c r="G54" i="1" s="1"/>
  <c r="H54" i="1" s="1"/>
  <c r="D53" i="4" l="1"/>
  <c r="F52" i="4"/>
  <c r="B53" i="4" s="1"/>
  <c r="E52" i="4"/>
  <c r="O55" i="3"/>
  <c r="L56" i="3" s="1"/>
  <c r="N56" i="3" s="1"/>
  <c r="N60" i="2"/>
  <c r="O60" i="2"/>
  <c r="M60" i="2"/>
  <c r="R52" i="2"/>
  <c r="S52" i="2"/>
  <c r="K52" i="2"/>
  <c r="J52" i="2"/>
  <c r="M52" i="2" s="1"/>
  <c r="C52" i="2"/>
  <c r="D52" i="2" s="1"/>
  <c r="E52" i="2"/>
  <c r="F51" i="2"/>
  <c r="H55" i="3"/>
  <c r="E56" i="3" s="1"/>
  <c r="F56" i="3" s="1"/>
  <c r="AB54" i="1"/>
  <c r="W55" i="1"/>
  <c r="Y55" i="1" s="1"/>
  <c r="V55" i="1"/>
  <c r="R54" i="1"/>
  <c r="M55" i="1"/>
  <c r="O55" i="1" s="1"/>
  <c r="L55" i="1"/>
  <c r="B55" i="1"/>
  <c r="D55" i="1" s="1"/>
  <c r="C55" i="1"/>
  <c r="E55" i="1" s="1"/>
  <c r="E53" i="4" l="1"/>
  <c r="F53" i="4" s="1"/>
  <c r="B54" i="4" s="1"/>
  <c r="C54" i="4"/>
  <c r="M56" i="3"/>
  <c r="O56" i="3" s="1"/>
  <c r="L57" i="3" s="1"/>
  <c r="J61" i="2"/>
  <c r="K61" i="2"/>
  <c r="T52" i="2"/>
  <c r="W52" i="2" s="1"/>
  <c r="U52" i="2"/>
  <c r="S53" i="2" s="1"/>
  <c r="V52" i="2"/>
  <c r="L52" i="2"/>
  <c r="O52" i="2"/>
  <c r="N52" i="2"/>
  <c r="J53" i="2"/>
  <c r="K53" i="2"/>
  <c r="F52" i="2"/>
  <c r="G52" i="2"/>
  <c r="B53" i="2"/>
  <c r="C53" i="2"/>
  <c r="G56" i="3"/>
  <c r="H56" i="3" s="1"/>
  <c r="X55" i="1"/>
  <c r="Z55" i="1"/>
  <c r="N55" i="1"/>
  <c r="P55" i="1"/>
  <c r="F55" i="1"/>
  <c r="P56" i="3" l="1"/>
  <c r="M57" i="3"/>
  <c r="N57" i="3"/>
  <c r="L61" i="2"/>
  <c r="M61" i="2"/>
  <c r="R53" i="2"/>
  <c r="U53" i="2" s="1"/>
  <c r="M53" i="2"/>
  <c r="L53" i="2"/>
  <c r="D53" i="2"/>
  <c r="E53" i="2"/>
  <c r="I56" i="3"/>
  <c r="E57" i="3"/>
  <c r="AC55" i="1"/>
  <c r="AA55" i="1"/>
  <c r="AB55" i="1" s="1"/>
  <c r="S55" i="1"/>
  <c r="Q55" i="1"/>
  <c r="R55" i="1" s="1"/>
  <c r="F57" i="3"/>
  <c r="G57" i="3"/>
  <c r="H57" i="3" s="1"/>
  <c r="I55" i="1"/>
  <c r="G55" i="1"/>
  <c r="H55" i="1" s="1"/>
  <c r="C56" i="1" s="1"/>
  <c r="E56" i="1" s="1"/>
  <c r="O57" i="3" l="1"/>
  <c r="L58" i="3" s="1"/>
  <c r="J62" i="2"/>
  <c r="K62" i="2"/>
  <c r="N61" i="2"/>
  <c r="O61" i="2"/>
  <c r="T53" i="2"/>
  <c r="V53" i="2" s="1"/>
  <c r="O53" i="2"/>
  <c r="N53" i="2"/>
  <c r="K54" i="2"/>
  <c r="J54" i="2"/>
  <c r="B54" i="2"/>
  <c r="C54" i="2"/>
  <c r="G53" i="2"/>
  <c r="F53" i="2"/>
  <c r="W56" i="1"/>
  <c r="Y56" i="1" s="1"/>
  <c r="V56" i="1"/>
  <c r="M56" i="1"/>
  <c r="O56" i="1" s="1"/>
  <c r="L56" i="1"/>
  <c r="I57" i="3"/>
  <c r="E58" i="3"/>
  <c r="B56" i="1"/>
  <c r="D56" i="1" s="1"/>
  <c r="P57" i="3" l="1"/>
  <c r="M58" i="3"/>
  <c r="N58" i="3"/>
  <c r="L62" i="2"/>
  <c r="M62" i="2"/>
  <c r="R54" i="2"/>
  <c r="S54" i="2"/>
  <c r="W53" i="2"/>
  <c r="M54" i="2"/>
  <c r="L54" i="2"/>
  <c r="D54" i="2"/>
  <c r="E54" i="2"/>
  <c r="Z56" i="1"/>
  <c r="X56" i="1"/>
  <c r="N56" i="1"/>
  <c r="P56" i="1"/>
  <c r="F58" i="3"/>
  <c r="G58" i="3"/>
  <c r="H58" i="3" s="1"/>
  <c r="F56" i="1"/>
  <c r="I56" i="1" s="1"/>
  <c r="O58" i="3" l="1"/>
  <c r="L59" i="3" s="1"/>
  <c r="J63" i="2"/>
  <c r="K63" i="2"/>
  <c r="N62" i="2"/>
  <c r="O62" i="2"/>
  <c r="T54" i="2"/>
  <c r="S55" i="2" s="1"/>
  <c r="U54" i="2"/>
  <c r="O54" i="2"/>
  <c r="N54" i="2"/>
  <c r="K55" i="2"/>
  <c r="J55" i="2"/>
  <c r="B55" i="2"/>
  <c r="C55" i="2"/>
  <c r="G54" i="2"/>
  <c r="F54" i="2"/>
  <c r="AC56" i="1"/>
  <c r="AA56" i="1"/>
  <c r="AB56" i="1" s="1"/>
  <c r="S56" i="1"/>
  <c r="Q56" i="1"/>
  <c r="R56" i="1" s="1"/>
  <c r="I58" i="3"/>
  <c r="E59" i="3"/>
  <c r="G56" i="1"/>
  <c r="H56" i="1" s="1"/>
  <c r="P58" i="3" l="1"/>
  <c r="N59" i="3"/>
  <c r="M59" i="3"/>
  <c r="O59" i="3"/>
  <c r="L63" i="2"/>
  <c r="M63" i="2"/>
  <c r="R55" i="2"/>
  <c r="T55" i="2" s="1"/>
  <c r="V54" i="2"/>
  <c r="W54" i="2"/>
  <c r="M55" i="2"/>
  <c r="L55" i="2"/>
  <c r="D55" i="2"/>
  <c r="E55" i="2"/>
  <c r="W57" i="1"/>
  <c r="Y57" i="1" s="1"/>
  <c r="V57" i="1"/>
  <c r="M57" i="1"/>
  <c r="O57" i="1" s="1"/>
  <c r="L57" i="1"/>
  <c r="F59" i="3"/>
  <c r="G59" i="3"/>
  <c r="H59" i="3" s="1"/>
  <c r="B57" i="1"/>
  <c r="C57" i="1"/>
  <c r="E57" i="1" s="1"/>
  <c r="P59" i="3" l="1"/>
  <c r="L60" i="3"/>
  <c r="J64" i="2"/>
  <c r="K64" i="2"/>
  <c r="N63" i="2"/>
  <c r="O63" i="2"/>
  <c r="U55" i="2"/>
  <c r="S56" i="2"/>
  <c r="R56" i="2"/>
  <c r="W55" i="2"/>
  <c r="V55" i="2"/>
  <c r="O55" i="2"/>
  <c r="N55" i="2"/>
  <c r="K56" i="2"/>
  <c r="J56" i="2"/>
  <c r="B56" i="2"/>
  <c r="C56" i="2"/>
  <c r="G55" i="2"/>
  <c r="F55" i="2"/>
  <c r="Z57" i="1"/>
  <c r="X57" i="1"/>
  <c r="N57" i="1"/>
  <c r="P57" i="1"/>
  <c r="I59" i="3"/>
  <c r="E60" i="3"/>
  <c r="D57" i="1"/>
  <c r="F57" i="1"/>
  <c r="N60" i="3" l="1"/>
  <c r="M60" i="3"/>
  <c r="O60" i="3"/>
  <c r="P60" i="3" s="1"/>
  <c r="L64" i="2"/>
  <c r="M64" i="2"/>
  <c r="U56" i="2"/>
  <c r="T56" i="2"/>
  <c r="M56" i="2"/>
  <c r="L56" i="2"/>
  <c r="D56" i="2"/>
  <c r="E56" i="2"/>
  <c r="AC57" i="1"/>
  <c r="AA57" i="1"/>
  <c r="AB57" i="1" s="1"/>
  <c r="S57" i="1"/>
  <c r="Q57" i="1"/>
  <c r="R57" i="1"/>
  <c r="F60" i="3"/>
  <c r="G60" i="3"/>
  <c r="H60" i="3"/>
  <c r="I60" i="3" s="1"/>
  <c r="I57" i="1"/>
  <c r="G57" i="1"/>
  <c r="H57" i="1" s="1"/>
  <c r="J65" i="2" l="1"/>
  <c r="K65" i="2"/>
  <c r="N64" i="2"/>
  <c r="O64" i="2"/>
  <c r="W56" i="2"/>
  <c r="V56" i="2"/>
  <c r="S57" i="2"/>
  <c r="R57" i="2"/>
  <c r="O56" i="2"/>
  <c r="N56" i="2"/>
  <c r="K57" i="2"/>
  <c r="J57" i="2"/>
  <c r="B57" i="2"/>
  <c r="C57" i="2"/>
  <c r="G56" i="2"/>
  <c r="F56" i="2"/>
  <c r="W58" i="1"/>
  <c r="Y58" i="1" s="1"/>
  <c r="V58" i="1"/>
  <c r="M58" i="1"/>
  <c r="O58" i="1" s="1"/>
  <c r="L58" i="1"/>
  <c r="C58" i="1"/>
  <c r="E58" i="1" s="1"/>
  <c r="B58" i="1"/>
  <c r="L65" i="2" l="1"/>
  <c r="M65" i="2"/>
  <c r="U57" i="2"/>
  <c r="T57" i="2"/>
  <c r="M57" i="2"/>
  <c r="L57" i="2"/>
  <c r="D57" i="2"/>
  <c r="E57" i="2"/>
  <c r="Z58" i="1"/>
  <c r="X58" i="1"/>
  <c r="N58" i="1"/>
  <c r="P58" i="1"/>
  <c r="D58" i="1"/>
  <c r="F58" i="1"/>
  <c r="J66" i="2" l="1"/>
  <c r="K66" i="2"/>
  <c r="N65" i="2"/>
  <c r="O65" i="2"/>
  <c r="V57" i="2"/>
  <c r="W57" i="2"/>
  <c r="S58" i="2"/>
  <c r="R58" i="2"/>
  <c r="O57" i="2"/>
  <c r="N57" i="2"/>
  <c r="K58" i="2"/>
  <c r="J58" i="2"/>
  <c r="B58" i="2"/>
  <c r="C58" i="2"/>
  <c r="G57" i="2"/>
  <c r="F57" i="2"/>
  <c r="AA58" i="1"/>
  <c r="AB58" i="1" s="1"/>
  <c r="AC58" i="1"/>
  <c r="S58" i="1"/>
  <c r="Q58" i="1"/>
  <c r="R58" i="1"/>
  <c r="I58" i="1"/>
  <c r="G58" i="1"/>
  <c r="H58" i="1" s="1"/>
  <c r="L66" i="2" l="1"/>
  <c r="M66" i="2"/>
  <c r="T58" i="2"/>
  <c r="U58" i="2"/>
  <c r="M58" i="2"/>
  <c r="L58" i="2"/>
  <c r="D58" i="2"/>
  <c r="E58" i="2"/>
  <c r="W59" i="1"/>
  <c r="Y59" i="1" s="1"/>
  <c r="V59" i="1"/>
  <c r="M59" i="1"/>
  <c r="O59" i="1" s="1"/>
  <c r="L59" i="1"/>
  <c r="B59" i="1"/>
  <c r="C59" i="1"/>
  <c r="E59" i="1" s="1"/>
  <c r="J67" i="2" l="1"/>
  <c r="K67" i="2"/>
  <c r="N66" i="2"/>
  <c r="O66" i="2"/>
  <c r="S59" i="2"/>
  <c r="R59" i="2"/>
  <c r="V58" i="2"/>
  <c r="W58" i="2"/>
  <c r="O58" i="2"/>
  <c r="N58" i="2"/>
  <c r="J59" i="2"/>
  <c r="K59" i="2"/>
  <c r="B59" i="2"/>
  <c r="C59" i="2"/>
  <c r="G58" i="2"/>
  <c r="F58" i="2"/>
  <c r="Z59" i="1"/>
  <c r="X59" i="1"/>
  <c r="N59" i="1"/>
  <c r="P59" i="1"/>
  <c r="D59" i="1"/>
  <c r="F59" i="1"/>
  <c r="L67" i="2" l="1"/>
  <c r="M67" i="2"/>
  <c r="U59" i="2"/>
  <c r="T59" i="2"/>
  <c r="M59" i="2"/>
  <c r="L59" i="2"/>
  <c r="E59" i="2"/>
  <c r="D59" i="2"/>
  <c r="AC59" i="1"/>
  <c r="AA59" i="1"/>
  <c r="AB59" i="1" s="1"/>
  <c r="S59" i="1"/>
  <c r="Q59" i="1"/>
  <c r="R59" i="1"/>
  <c r="G59" i="1"/>
  <c r="I59" i="1"/>
  <c r="H59" i="1"/>
  <c r="J68" i="2" l="1"/>
  <c r="K68" i="2"/>
  <c r="N67" i="2"/>
  <c r="O67" i="2"/>
  <c r="W59" i="2"/>
  <c r="V59" i="2"/>
  <c r="O59" i="2"/>
  <c r="N59" i="2"/>
  <c r="G59" i="2"/>
  <c r="F59" i="2"/>
  <c r="W60" i="1"/>
  <c r="Y60" i="1" s="1"/>
  <c r="V60" i="1"/>
  <c r="M60" i="1"/>
  <c r="O60" i="1" s="1"/>
  <c r="L60" i="1"/>
  <c r="B60" i="1"/>
  <c r="C60" i="1"/>
  <c r="E60" i="1" s="1"/>
  <c r="L68" i="2" l="1"/>
  <c r="M68" i="2"/>
  <c r="Z60" i="1"/>
  <c r="X60" i="1"/>
  <c r="N60" i="1"/>
  <c r="P60" i="1"/>
  <c r="D60" i="1"/>
  <c r="F60" i="1"/>
  <c r="J69" i="2" l="1"/>
  <c r="K69" i="2"/>
  <c r="N68" i="2"/>
  <c r="O68" i="2"/>
  <c r="AC60" i="1"/>
  <c r="AA60" i="1"/>
  <c r="AB60" i="1" s="1"/>
  <c r="S60" i="1"/>
  <c r="Q60" i="1"/>
  <c r="R60" i="1" s="1"/>
  <c r="G60" i="1"/>
  <c r="H60" i="1" s="1"/>
  <c r="I60" i="1"/>
  <c r="L69" i="2" l="1"/>
  <c r="M69" i="2"/>
  <c r="W61" i="1"/>
  <c r="Y61" i="1" s="1"/>
  <c r="V61" i="1"/>
  <c r="M61" i="1"/>
  <c r="O61" i="1" s="1"/>
  <c r="L61" i="1"/>
  <c r="C61" i="1"/>
  <c r="E61" i="1" s="1"/>
  <c r="B61" i="1"/>
  <c r="J70" i="2" l="1"/>
  <c r="K70" i="2"/>
  <c r="N69" i="2"/>
  <c r="O69" i="2"/>
  <c r="X61" i="1"/>
  <c r="Z61" i="1"/>
  <c r="N61" i="1"/>
  <c r="P61" i="1"/>
  <c r="D61" i="1"/>
  <c r="F61" i="1"/>
  <c r="L70" i="2" l="1"/>
  <c r="M70" i="2"/>
  <c r="AC61" i="1"/>
  <c r="AA61" i="1"/>
  <c r="AB61" i="1"/>
  <c r="S61" i="1"/>
  <c r="Q61" i="1"/>
  <c r="R61" i="1" s="1"/>
  <c r="I61" i="1"/>
  <c r="G61" i="1"/>
  <c r="H61" i="1"/>
  <c r="J71" i="2" l="1"/>
  <c r="K71" i="2"/>
  <c r="N70" i="2"/>
  <c r="O70" i="2"/>
  <c r="W62" i="1"/>
  <c r="Y62" i="1" s="1"/>
  <c r="V62" i="1"/>
  <c r="M62" i="1"/>
  <c r="O62" i="1" s="1"/>
  <c r="L62" i="1"/>
  <c r="C62" i="1"/>
  <c r="E62" i="1" s="1"/>
  <c r="B62" i="1"/>
  <c r="L71" i="2" l="1"/>
  <c r="M71" i="2"/>
  <c r="Z62" i="1"/>
  <c r="X62" i="1"/>
  <c r="N62" i="1"/>
  <c r="P62" i="1"/>
  <c r="D62" i="1"/>
  <c r="F62" i="1"/>
  <c r="N71" i="2" l="1"/>
  <c r="O71" i="2"/>
  <c r="AA62" i="1"/>
  <c r="AB62" i="1" s="1"/>
  <c r="AC62" i="1"/>
  <c r="S62" i="1"/>
  <c r="Q62" i="1"/>
  <c r="R62" i="1" s="1"/>
  <c r="G62" i="1"/>
  <c r="H62" i="1" s="1"/>
  <c r="I62" i="1"/>
  <c r="W63" i="1" l="1"/>
  <c r="Y63" i="1" s="1"/>
  <c r="V63" i="1"/>
  <c r="M63" i="1"/>
  <c r="O63" i="1" s="1"/>
  <c r="L63" i="1"/>
  <c r="B63" i="1"/>
  <c r="C63" i="1"/>
  <c r="E63" i="1" s="1"/>
  <c r="X63" i="1" l="1"/>
  <c r="Z63" i="1"/>
  <c r="N63" i="1"/>
  <c r="P63" i="1"/>
  <c r="D63" i="1"/>
  <c r="F63" i="1"/>
  <c r="AC63" i="1" l="1"/>
  <c r="AA63" i="1"/>
  <c r="AB63" i="1"/>
  <c r="S63" i="1"/>
  <c r="Q63" i="1"/>
  <c r="R63" i="1"/>
  <c r="G63" i="1"/>
  <c r="H63" i="1" s="1"/>
  <c r="I63" i="1"/>
  <c r="W64" i="1" l="1"/>
  <c r="Y64" i="1" s="1"/>
  <c r="V64" i="1"/>
  <c r="M64" i="1"/>
  <c r="O64" i="1" s="1"/>
  <c r="L64" i="1"/>
  <c r="C64" i="1"/>
  <c r="E64" i="1" s="1"/>
  <c r="B64" i="1"/>
  <c r="Z64" i="1" l="1"/>
  <c r="X64" i="1"/>
  <c r="N64" i="1"/>
  <c r="P64" i="1"/>
  <c r="F64" i="1"/>
  <c r="D64" i="1"/>
  <c r="AC64" i="1" l="1"/>
  <c r="AA64" i="1"/>
  <c r="AB64" i="1" s="1"/>
  <c r="S64" i="1"/>
  <c r="Q64" i="1"/>
  <c r="R64" i="1"/>
  <c r="I64" i="1"/>
  <c r="G64" i="1"/>
  <c r="H64" i="1" s="1"/>
  <c r="W65" i="1" l="1"/>
  <c r="Y65" i="1" s="1"/>
  <c r="V65" i="1"/>
  <c r="M65" i="1"/>
  <c r="O65" i="1" s="1"/>
  <c r="L65" i="1"/>
  <c r="B65" i="1"/>
  <c r="C65" i="1"/>
  <c r="E65" i="1" s="1"/>
  <c r="X65" i="1" l="1"/>
  <c r="Z65" i="1"/>
  <c r="N65" i="1"/>
  <c r="P65" i="1"/>
  <c r="D65" i="1"/>
  <c r="F65" i="1"/>
  <c r="AC65" i="1" l="1"/>
  <c r="AA65" i="1"/>
  <c r="AB65" i="1" s="1"/>
  <c r="S65" i="1"/>
  <c r="Q65" i="1"/>
  <c r="R65" i="1"/>
  <c r="G65" i="1"/>
  <c r="I65" i="1"/>
  <c r="H65" i="1"/>
  <c r="W66" i="1" l="1"/>
  <c r="Y66" i="1" s="1"/>
  <c r="V66" i="1"/>
  <c r="M66" i="1"/>
  <c r="O66" i="1" s="1"/>
  <c r="L66" i="1"/>
  <c r="B66" i="1"/>
  <c r="C66" i="1"/>
  <c r="E66" i="1" s="1"/>
  <c r="Z66" i="1" l="1"/>
  <c r="X66" i="1"/>
  <c r="N66" i="1"/>
  <c r="P66" i="1"/>
  <c r="F66" i="1"/>
  <c r="D66" i="1"/>
  <c r="AC66" i="1" l="1"/>
  <c r="AA66" i="1"/>
  <c r="AB66" i="1" s="1"/>
  <c r="S66" i="1"/>
  <c r="Q66" i="1"/>
  <c r="R66" i="1"/>
  <c r="G66" i="1"/>
  <c r="H66" i="1" s="1"/>
  <c r="I66" i="1"/>
  <c r="V67" i="1" l="1"/>
  <c r="W67" i="1"/>
  <c r="Y67" i="1" s="1"/>
  <c r="M67" i="1"/>
  <c r="O67" i="1" s="1"/>
  <c r="L67" i="1"/>
  <c r="B67" i="1"/>
  <c r="C67" i="1"/>
  <c r="E67" i="1" s="1"/>
  <c r="Z67" i="1" l="1"/>
  <c r="X67" i="1"/>
  <c r="N67" i="1"/>
  <c r="P67" i="1"/>
  <c r="D67" i="1"/>
  <c r="F67" i="1"/>
  <c r="AC67" i="1" l="1"/>
  <c r="AA67" i="1"/>
  <c r="AB67" i="1" s="1"/>
  <c r="S67" i="1"/>
  <c r="Q67" i="1"/>
  <c r="R67" i="1" s="1"/>
  <c r="G67" i="1"/>
  <c r="I67" i="1"/>
  <c r="H67" i="1"/>
</calcChain>
</file>

<file path=xl/sharedStrings.xml><?xml version="1.0" encoding="utf-8"?>
<sst xmlns="http://schemas.openxmlformats.org/spreadsheetml/2006/main" count="107" uniqueCount="50">
  <si>
    <t>a</t>
  </si>
  <si>
    <t>b</t>
  </si>
  <si>
    <t>fa</t>
  </si>
  <si>
    <t>fb</t>
  </si>
  <si>
    <t>m</t>
  </si>
  <si>
    <t>error</t>
  </si>
  <si>
    <t>Funcion</t>
  </si>
  <si>
    <t>fm</t>
  </si>
  <si>
    <t>fa *fm</t>
  </si>
  <si>
    <t>secante</t>
  </si>
  <si>
    <t>tangente</t>
  </si>
  <si>
    <t>toca 2 veces</t>
  </si>
  <si>
    <t>toca 1 vez</t>
  </si>
  <si>
    <t>Xr,f(xr)</t>
  </si>
  <si>
    <t>opuesto/adyacente</t>
  </si>
  <si>
    <t>f(x)</t>
  </si>
  <si>
    <t>x cubo -x -1\</t>
  </si>
  <si>
    <t>f'(x)</t>
  </si>
  <si>
    <t>x0</t>
  </si>
  <si>
    <t>Iter</t>
  </si>
  <si>
    <t>X0</t>
  </si>
  <si>
    <t>form newton</t>
  </si>
  <si>
    <t>xn+1 = xn- (fx/f'x)</t>
  </si>
  <si>
    <t>(2xcuatrado2)-1</t>
  </si>
  <si>
    <t>abs (real-medido)/real</t>
  </si>
  <si>
    <t>2.5</t>
  </si>
  <si>
    <t>(x^)2 -5</t>
  </si>
  <si>
    <t>Problema color de rosa</t>
  </si>
  <si>
    <t>Problema color de rosa obscuro</t>
  </si>
  <si>
    <t>Problema color guinda</t>
  </si>
  <si>
    <t>sin raices en el intervalo</t>
  </si>
  <si>
    <t>con 2 raices en el intervalo</t>
  </si>
  <si>
    <t>n</t>
  </si>
  <si>
    <t>c</t>
  </si>
  <si>
    <t>con raiz</t>
  </si>
  <si>
    <t>sin raiz</t>
  </si>
  <si>
    <t>f(x)=x^3−x−2</t>
  </si>
  <si>
    <t>raiz cerca de a</t>
  </si>
  <si>
    <t>no nai</t>
  </si>
  <si>
    <t>aqui ta</t>
  </si>
  <si>
    <t>toma la primera que encuentra</t>
  </si>
  <si>
    <t>lejos de la raiz</t>
  </si>
  <si>
    <t>no pues no nai, no la encontro</t>
  </si>
  <si>
    <t>x_(n-1)</t>
  </si>
  <si>
    <t>x_n</t>
  </si>
  <si>
    <t>f(x_n)</t>
  </si>
  <si>
    <t>Error</t>
  </si>
  <si>
    <t>f(x)=x^(3)-3 x-3</t>
  </si>
  <si>
    <t>f(xn-1)</t>
  </si>
  <si>
    <t>xn+1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</si>
</sst>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</xdr:row>
      <xdr:rowOff>104775</xdr:rowOff>
    </xdr:from>
    <xdr:to>
      <xdr:col>2</xdr:col>
      <xdr:colOff>419100</xdr:colOff>
      <xdr:row>5</xdr:row>
      <xdr:rowOff>19050</xdr:rowOff>
    </xdr:to>
    <xdr:sp macro="" textlink="">
      <xdr:nvSpPr>
        <xdr:cNvPr id="6" name="Diagrama de flujo: cinta perforada 5">
          <a:extLst>
            <a:ext uri="{FF2B5EF4-FFF2-40B4-BE49-F238E27FC236}">
              <a16:creationId xmlns:a16="http://schemas.microsoft.com/office/drawing/2014/main" id="{7AE28063-FD57-237C-6C12-D83939DE988F}"/>
            </a:ext>
          </a:extLst>
        </xdr:cNvPr>
        <xdr:cNvSpPr/>
      </xdr:nvSpPr>
      <xdr:spPr>
        <a:xfrm>
          <a:off x="314325" y="295275"/>
          <a:ext cx="1628775" cy="676275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Emanuel Islas Quintos</a:t>
          </a:r>
        </a:p>
      </xdr:txBody>
    </xdr:sp>
    <xdr:clientData/>
  </xdr:twoCellAnchor>
  <xdr:twoCellAnchor>
    <xdr:from>
      <xdr:col>4</xdr:col>
      <xdr:colOff>514350</xdr:colOff>
      <xdr:row>0</xdr:row>
      <xdr:rowOff>76200</xdr:rowOff>
    </xdr:from>
    <xdr:to>
      <xdr:col>11</xdr:col>
      <xdr:colOff>152400</xdr:colOff>
      <xdr:row>6</xdr:row>
      <xdr:rowOff>57150</xdr:rowOff>
    </xdr:to>
    <xdr:sp macro="" textlink="">
      <xdr:nvSpPr>
        <xdr:cNvPr id="7" name="Diagrama de flujo: cinta perforada 6">
          <a:extLst>
            <a:ext uri="{FF2B5EF4-FFF2-40B4-BE49-F238E27FC236}">
              <a16:creationId xmlns:a16="http://schemas.microsoft.com/office/drawing/2014/main" id="{71D99DEC-0777-48C0-BBD8-78234B006C64}"/>
            </a:ext>
          </a:extLst>
        </xdr:cNvPr>
        <xdr:cNvSpPr/>
      </xdr:nvSpPr>
      <xdr:spPr>
        <a:xfrm>
          <a:off x="3562350" y="76200"/>
          <a:ext cx="4972050" cy="1123950"/>
        </a:xfrm>
        <a:prstGeom prst="flowChartPunchedTape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4000"/>
            <a:t>Metodos numericos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9</xdr:row>
          <xdr:rowOff>171450</xdr:rowOff>
        </xdr:from>
        <xdr:to>
          <xdr:col>10</xdr:col>
          <xdr:colOff>9525</xdr:colOff>
          <xdr:row>13</xdr:row>
          <xdr:rowOff>152400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es-MX" sz="2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Biseccion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104775</xdr:colOff>
          <xdr:row>16</xdr:row>
          <xdr:rowOff>76200</xdr:rowOff>
        </xdr:from>
        <xdr:to>
          <xdr:col>10</xdr:col>
          <xdr:colOff>0</xdr:colOff>
          <xdr:row>20</xdr:row>
          <xdr:rowOff>57150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5157036-A151-EC5A-85D1-0CD8AF8754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es-MX" sz="2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Falsa posicion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95250</xdr:colOff>
          <xdr:row>23</xdr:row>
          <xdr:rowOff>47625</xdr:rowOff>
        </xdr:from>
        <xdr:to>
          <xdr:col>9</xdr:col>
          <xdr:colOff>752475</xdr:colOff>
          <xdr:row>27</xdr:row>
          <xdr:rowOff>28575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FA781B1-731A-BE4B-482E-1577BDA34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es-MX" sz="2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Newton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85725</xdr:colOff>
          <xdr:row>29</xdr:row>
          <xdr:rowOff>142875</xdr:rowOff>
        </xdr:from>
        <xdr:to>
          <xdr:col>9</xdr:col>
          <xdr:colOff>742950</xdr:colOff>
          <xdr:row>33</xdr:row>
          <xdr:rowOff>123825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D403550-15B3-0A1D-BB89-D37A026B9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es-MX" sz="2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Secante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6</xdr:row>
      <xdr:rowOff>9524</xdr:rowOff>
    </xdr:from>
    <xdr:to>
      <xdr:col>7</xdr:col>
      <xdr:colOff>685800</xdr:colOff>
      <xdr:row>19</xdr:row>
      <xdr:rowOff>19049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Rectángulo: esquinas redondeadas 1">
              <a:extLst>
                <a:ext uri="{FF2B5EF4-FFF2-40B4-BE49-F238E27FC236}">
                  <a16:creationId xmlns:a16="http://schemas.microsoft.com/office/drawing/2014/main" id="{329BAA60-6C80-56B6-8803-324664435974}"/>
                </a:ext>
              </a:extLst>
            </xdr:cNvPr>
            <xdr:cNvSpPr/>
          </xdr:nvSpPr>
          <xdr:spPr>
            <a:xfrm>
              <a:off x="1543050" y="1152524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2000"/>
                <a:t>Que es?</a:t>
              </a:r>
            </a:p>
            <a:p>
              <a:r>
                <a:rPr lang="es-MX" sz="2000"/>
                <a:t>Método cerrado para encontrar raíces de una función </a:t>
              </a:r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𝑥</m:t>
                      </m:r>
                    </m:e>
                  </m:d>
                </m:oMath>
              </a14:m>
              <a:r>
                <a:rPr lang="ar-AE" sz="2000"/>
                <a:t>.</a:t>
              </a:r>
              <a:br>
                <a:rPr lang="ar-AE" sz="2000"/>
              </a:br>
              <a:r>
                <a:rPr lang="es-MX" sz="2000"/>
                <a:t>Funciona cuando existe un intervalo 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sepChr m:val=","/>
                      <m:ctrlPr>
                        <a:rPr lang="ar-AE"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𝑎</m:t>
                      </m:r>
                    </m:e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𝑏</m:t>
                      </m:r>
                    </m:e>
                  </m:d>
                </m:oMath>
              </a14:m>
              <a:r>
                <a:rPr lang="es-MX" sz="2000"/>
                <a:t>tal que: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𝑎</m:t>
                        </m:r>
                      </m:e>
                    </m:d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⋅</m:t>
                    </m:r>
                    <m:r>
                      <a:rPr lang="ar-AE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𝑏</m:t>
                        </m:r>
                      </m:e>
                    </m:d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&lt;</m:t>
                    </m:r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0</m:t>
                    </m:r>
                  </m:oMath>
                </m:oMathPara>
              </a14:m>
              <a:endParaRPr lang="ar-AE" sz="2000"/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2" name="Rectángulo: esquinas redondeadas 1">
              <a:extLst>
                <a:ext uri="{FF2B5EF4-FFF2-40B4-BE49-F238E27FC236}">
                  <a16:creationId xmlns:a16="http://schemas.microsoft.com/office/drawing/2014/main" id="{329BAA60-6C80-56B6-8803-324664435974}"/>
                </a:ext>
              </a:extLst>
            </xdr:cNvPr>
            <xdr:cNvSpPr/>
          </xdr:nvSpPr>
          <xdr:spPr>
            <a:xfrm>
              <a:off x="1543050" y="1152524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2000"/>
                <a:t>Que es?</a:t>
              </a:r>
            </a:p>
            <a:p>
              <a:r>
                <a:rPr lang="es-MX" sz="2000"/>
                <a:t>Método cerrado para encontrar raíces de una función </a:t>
              </a:r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(𝑥)</a:t>
              </a:r>
              <a:r>
                <a:rPr lang="ar-AE" sz="2000"/>
                <a:t>.</a:t>
              </a:r>
              <a:br>
                <a:rPr lang="ar-AE" sz="2000"/>
              </a:br>
              <a:r>
                <a:rPr lang="es-MX" sz="2000"/>
                <a:t>Funciona cuando existe un intervalo 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[𝑎ⓜ,𝑏]</a:t>
              </a:r>
              <a:r>
                <a:rPr lang="es-MX" sz="2000"/>
                <a:t>tal que:</a:t>
              </a:r>
            </a:p>
            <a:p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(𝑎)⋅𝑓(𝑏)&lt;0</a:t>
              </a:r>
              <a:endParaRPr lang="ar-AE" sz="2000"/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2</xdr:col>
      <xdr:colOff>209550</xdr:colOff>
      <xdr:row>4</xdr:row>
      <xdr:rowOff>9525</xdr:rowOff>
    </xdr:to>
    <xdr:sp macro="" textlink="">
      <xdr:nvSpPr>
        <xdr:cNvPr id="3" name="Diagrama de flujo: cinta perforada 2">
          <a:extLst>
            <a:ext uri="{FF2B5EF4-FFF2-40B4-BE49-F238E27FC236}">
              <a16:creationId xmlns:a16="http://schemas.microsoft.com/office/drawing/2014/main" id="{40F2BE2D-D81B-4605-B3BA-DBC796C13E29}"/>
            </a:ext>
          </a:extLst>
        </xdr:cNvPr>
        <xdr:cNvSpPr/>
      </xdr:nvSpPr>
      <xdr:spPr>
        <a:xfrm>
          <a:off x="0" y="0"/>
          <a:ext cx="1743075" cy="771525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800"/>
            <a:t>Biseccion</a:t>
          </a:r>
          <a:endParaRPr lang="es-MX" sz="1100"/>
        </a:p>
      </xdr:txBody>
    </xdr:sp>
    <xdr:clientData/>
  </xdr:twoCellAnchor>
  <xdr:twoCellAnchor>
    <xdr:from>
      <xdr:col>8</xdr:col>
      <xdr:colOff>752475</xdr:colOff>
      <xdr:row>5</xdr:row>
      <xdr:rowOff>190499</xdr:rowOff>
    </xdr:from>
    <xdr:to>
      <xdr:col>14</xdr:col>
      <xdr:colOff>714375</xdr:colOff>
      <xdr:row>19</xdr:row>
      <xdr:rowOff>9524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Rectángulo: esquinas redondeadas 3">
              <a:extLst>
                <a:ext uri="{FF2B5EF4-FFF2-40B4-BE49-F238E27FC236}">
                  <a16:creationId xmlns:a16="http://schemas.microsoft.com/office/drawing/2014/main" id="{79C9FBC4-FDC5-45A2-999F-1B7CB05504C5}"/>
                </a:ext>
              </a:extLst>
            </xdr:cNvPr>
            <xdr:cNvSpPr/>
          </xdr:nvSpPr>
          <xdr:spPr>
            <a:xfrm>
              <a:off x="6915150" y="1142999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Fórmula (para obtener el siguiente valor)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𝑐</m:t>
                    </m:r>
                    <m:r>
                      <a:rPr lang="es-MX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𝑏</m:t>
                        </m:r>
                      </m:num>
                      <m:den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ar-AE" sz="2000"/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4" name="Rectángulo: esquinas redondeadas 3">
              <a:extLst>
                <a:ext uri="{FF2B5EF4-FFF2-40B4-BE49-F238E27FC236}">
                  <a16:creationId xmlns:a16="http://schemas.microsoft.com/office/drawing/2014/main" id="{79C9FBC4-FDC5-45A2-999F-1B7CB05504C5}"/>
                </a:ext>
              </a:extLst>
            </xdr:cNvPr>
            <xdr:cNvSpPr/>
          </xdr:nvSpPr>
          <xdr:spPr>
            <a:xfrm>
              <a:off x="6915150" y="1142999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Fórmula (para obtener el siguiente valor)</a:t>
              </a:r>
            </a:p>
            <a:p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𝑐=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(𝑎+𝑏)/2</a:t>
              </a:r>
              <a:endParaRPr lang="ar-AE" sz="2000"/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Fallback>
    </mc:AlternateContent>
    <xdr:clientData/>
  </xdr:twoCellAnchor>
  <xdr:twoCellAnchor>
    <xdr:from>
      <xdr:col>2</xdr:col>
      <xdr:colOff>57150</xdr:colOff>
      <xdr:row>23</xdr:row>
      <xdr:rowOff>123824</xdr:rowOff>
    </xdr:from>
    <xdr:to>
      <xdr:col>7</xdr:col>
      <xdr:colOff>733425</xdr:colOff>
      <xdr:row>36</xdr:row>
      <xdr:rowOff>133349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37E9FE1B-EA5D-4D72-9946-3EBEE79222D2}"/>
                </a:ext>
              </a:extLst>
            </xdr:cNvPr>
            <xdr:cNvSpPr/>
          </xdr:nvSpPr>
          <xdr:spPr>
            <a:xfrm>
              <a:off x="1590675" y="4505324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b="1"/>
                <a:t>Algoritmo</a:t>
              </a:r>
            </a:p>
            <a:p>
              <a:r>
                <a:rPr lang="es-MX"/>
                <a:t>Verificar que </a:t>
              </a:r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𝑎</m:t>
                      </m:r>
                    </m:e>
                  </m:d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𝑏</m:t>
                      </m:r>
                    </m:e>
                  </m:d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&lt;</m:t>
                  </m:r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0</m:t>
                  </m:r>
                </m:oMath>
              </a14:m>
              <a:endParaRPr lang="ar-AE"/>
            </a:p>
            <a:p>
              <a:r>
                <a:rPr lang="es-MX"/>
                <a:t>Calcular: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𝑐</m:t>
                    </m:r>
                    <m:r>
                      <a:rPr lang="es-MX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𝑏</m:t>
                        </m:r>
                      </m:num>
                      <m:den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ar-AE"/>
            </a:p>
            <a:p>
              <a:r>
                <a:rPr lang="es-MX"/>
                <a:t>Evaluar </a:t>
              </a:r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𝑐</m:t>
                      </m:r>
                    </m:e>
                  </m:d>
                </m:oMath>
              </a14:m>
              <a:endParaRPr lang="ar-AE"/>
            </a:p>
            <a:p>
              <a:r>
                <a:rPr lang="es-MX"/>
                <a:t>Si:</a:t>
              </a:r>
            </a:p>
            <a:p>
              <a:pPr lvl="1"/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𝑎</m:t>
                      </m:r>
                    </m:e>
                  </m:d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𝑐</m:t>
                      </m:r>
                    </m:e>
                  </m:d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&lt;</m:t>
                  </m:r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0</m:t>
                  </m:r>
                </m:oMath>
              </a14:m>
              <a:r>
                <a:rPr lang="ar-AE"/>
                <a:t>→ </a:t>
              </a:r>
              <a:r>
                <a:rPr lang="es-MX"/>
                <a:t>la raíz está en 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sepChr m:val=","/>
                      <m:ctrlPr>
                        <a:rPr lang="ar-AE"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𝑎</m:t>
                      </m:r>
                    </m:e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𝑐</m:t>
                      </m:r>
                    </m:e>
                  </m:d>
                </m:oMath>
              </a14:m>
              <a:r>
                <a:rPr lang="ar-AE"/>
                <a:t>→ </a:t>
              </a:r>
              <a:r>
                <a:rPr lang="es-MX"/>
                <a:t>ahora </a:t>
              </a:r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𝑏</m:t>
                  </m:r>
                  <m:r>
                    <a:rPr lang="es-MX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𝑐</m:t>
                  </m:r>
                </m:oMath>
              </a14:m>
              <a:endParaRPr lang="es-MX"/>
            </a:p>
            <a:p>
              <a:pPr lvl="1"/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𝑎</m:t>
                      </m:r>
                    </m:e>
                  </m:d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𝑐</m:t>
                      </m:r>
                    </m:e>
                  </m:d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&gt;</m:t>
                  </m:r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0</m:t>
                  </m:r>
                </m:oMath>
              </a14:m>
              <a:r>
                <a:rPr lang="ar-AE"/>
                <a:t>→ </a:t>
              </a:r>
              <a:r>
                <a:rPr lang="es-MX"/>
                <a:t>la raíz está en 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sepChr m:val=","/>
                      <m:ctrlPr>
                        <a:rPr lang="ar-AE"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𝑐</m:t>
                      </m:r>
                    </m:e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𝑏</m:t>
                      </m:r>
                    </m:e>
                  </m:d>
                </m:oMath>
              </a14:m>
              <a:r>
                <a:rPr lang="ar-AE"/>
                <a:t>→ </a:t>
              </a:r>
              <a:r>
                <a:rPr lang="es-MX"/>
                <a:t>ahora </a:t>
              </a:r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𝑎</m:t>
                  </m:r>
                  <m:r>
                    <a:rPr lang="es-MX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𝑐</m:t>
                  </m:r>
                </m:oMath>
              </a14:m>
              <a:endParaRPr lang="es-MX"/>
            </a:p>
            <a:p>
              <a:r>
                <a:rPr lang="es-MX"/>
                <a:t>Repetir hasta que el error sea pequeño.</a:t>
              </a:r>
              <a:endParaRPr lang="ar-AE" sz="2000"/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37E9FE1B-EA5D-4D72-9946-3EBEE79222D2}"/>
                </a:ext>
              </a:extLst>
            </xdr:cNvPr>
            <xdr:cNvSpPr/>
          </xdr:nvSpPr>
          <xdr:spPr>
            <a:xfrm>
              <a:off x="1590675" y="4505324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b="1"/>
                <a:t>Algoritmo</a:t>
              </a:r>
            </a:p>
            <a:p>
              <a:r>
                <a:rPr lang="es-MX"/>
                <a:t>Verificar que </a:t>
              </a:r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(𝑎)𝑓(𝑏)&lt;0</a:t>
              </a:r>
              <a:endParaRPr lang="ar-AE"/>
            </a:p>
            <a:p>
              <a:r>
                <a:rPr lang="es-MX"/>
                <a:t>Calcular:</a:t>
              </a:r>
            </a:p>
            <a:p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𝑐=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(𝑎+𝑏)/2</a:t>
              </a:r>
              <a:endParaRPr lang="ar-AE"/>
            </a:p>
            <a:p>
              <a:r>
                <a:rPr lang="es-MX"/>
                <a:t>Evaluar </a:t>
              </a:r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(𝑐)</a:t>
              </a:r>
              <a:endParaRPr lang="ar-AE"/>
            </a:p>
            <a:p>
              <a:r>
                <a:rPr lang="es-MX"/>
                <a:t>Si:</a:t>
              </a:r>
            </a:p>
            <a:p>
              <a:pPr lvl="1"/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(𝑎)𝑓(𝑐)&lt;0</a:t>
              </a:r>
              <a:r>
                <a:rPr lang="ar-AE"/>
                <a:t>→ </a:t>
              </a:r>
              <a:r>
                <a:rPr lang="es-MX"/>
                <a:t>la raíz está en 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[𝑎ⓜ,𝑐]</a:t>
              </a:r>
              <a:r>
                <a:rPr lang="ar-AE"/>
                <a:t>→ </a:t>
              </a:r>
              <a:r>
                <a:rPr lang="es-MX"/>
                <a:t>ahora </a:t>
              </a:r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𝑏=𝑐</a:t>
              </a:r>
              <a:endParaRPr lang="es-MX"/>
            </a:p>
            <a:p>
              <a:pPr lvl="1"/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(𝑎)𝑓(𝑐)&gt;0</a:t>
              </a:r>
              <a:r>
                <a:rPr lang="ar-AE"/>
                <a:t>→ </a:t>
              </a:r>
              <a:r>
                <a:rPr lang="es-MX"/>
                <a:t>la raíz está en 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[𝑐ⓜ,𝑏]</a:t>
              </a:r>
              <a:r>
                <a:rPr lang="ar-AE"/>
                <a:t>→ </a:t>
              </a:r>
              <a:r>
                <a:rPr lang="es-MX"/>
                <a:t>ahora </a:t>
              </a:r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𝑎=𝑐</a:t>
              </a:r>
              <a:endParaRPr lang="es-MX"/>
            </a:p>
            <a:p>
              <a:r>
                <a:rPr lang="es-MX"/>
                <a:t>Repetir hasta que el error sea pequeño.</a:t>
              </a:r>
              <a:endParaRPr lang="ar-AE" sz="2000"/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Fallback>
    </mc:AlternateContent>
    <xdr:clientData/>
  </xdr:twoCellAnchor>
  <xdr:twoCellAnchor>
    <xdr:from>
      <xdr:col>9</xdr:col>
      <xdr:colOff>38100</xdr:colOff>
      <xdr:row>23</xdr:row>
      <xdr:rowOff>28574</xdr:rowOff>
    </xdr:from>
    <xdr:to>
      <xdr:col>15</xdr:col>
      <xdr:colOff>0</xdr:colOff>
      <xdr:row>36</xdr:row>
      <xdr:rowOff>38099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1808942C-1DFB-4985-BD94-A5B1233B26F8}"/>
                </a:ext>
              </a:extLst>
            </xdr:cNvPr>
            <xdr:cNvSpPr/>
          </xdr:nvSpPr>
          <xdr:spPr>
            <a:xfrm>
              <a:off x="6962775" y="4410074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Implementación </a:t>
              </a:r>
            </a:p>
            <a:p>
              <a:r>
                <a:rPr lang="es-MX" sz="2000"/>
                <a:t>Cada iteración: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𝑐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</m:num>
                      <m:den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ar-AE" sz="2000"/>
            </a:p>
            <a:p>
              <a:r>
                <a:rPr lang="es-MX" sz="2000"/>
                <a:t>Y actualizas el intervalo según el signo.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1808942C-1DFB-4985-BD94-A5B1233B26F8}"/>
                </a:ext>
              </a:extLst>
            </xdr:cNvPr>
            <xdr:cNvSpPr/>
          </xdr:nvSpPr>
          <xdr:spPr>
            <a:xfrm>
              <a:off x="6962775" y="4410074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Implementación </a:t>
              </a:r>
            </a:p>
            <a:p>
              <a:r>
                <a:rPr lang="es-MX" sz="2000"/>
                <a:t>Cada iteración:</a:t>
              </a:r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𝑐_𝑛=(𝑎_𝑛+𝑏_𝑛)/2</a:t>
              </a:r>
              <a:endParaRPr lang="ar-AE" sz="2000"/>
            </a:p>
            <a:p>
              <a:r>
                <a:rPr lang="es-MX" sz="2000"/>
                <a:t>Y actualizas el intervalo según el signo.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38098</xdr:colOff>
      <xdr:row>6</xdr:row>
      <xdr:rowOff>66675</xdr:rowOff>
    </xdr:to>
    <xdr:sp macro="" textlink="">
      <xdr:nvSpPr>
        <xdr:cNvPr id="2" name="Diagrama de flujo: cinta perforada 1">
          <a:extLst>
            <a:ext uri="{FF2B5EF4-FFF2-40B4-BE49-F238E27FC236}">
              <a16:creationId xmlns:a16="http://schemas.microsoft.com/office/drawing/2014/main" id="{D779EA6B-E870-4A0D-B1AA-7AAA29A278EA}"/>
            </a:ext>
          </a:extLst>
        </xdr:cNvPr>
        <xdr:cNvSpPr/>
      </xdr:nvSpPr>
      <xdr:spPr>
        <a:xfrm>
          <a:off x="0" y="1"/>
          <a:ext cx="2324098" cy="1209674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2800"/>
            <a:t>Falsa</a:t>
          </a:r>
          <a:r>
            <a:rPr lang="es-MX" sz="2800" baseline="0"/>
            <a:t> posicion</a:t>
          </a:r>
        </a:p>
        <a:p>
          <a:pPr algn="l"/>
          <a:r>
            <a:rPr lang="es-MX" sz="1100" baseline="0"/>
            <a:t>(sangrado de implantacion)</a:t>
          </a:r>
          <a:endParaRPr lang="es-MX" sz="1100"/>
        </a:p>
      </xdr:txBody>
    </xdr:sp>
    <xdr:clientData/>
  </xdr:twoCellAnchor>
  <xdr:twoCellAnchor>
    <xdr:from>
      <xdr:col>5</xdr:col>
      <xdr:colOff>0</xdr:colOff>
      <xdr:row>3</xdr:row>
      <xdr:rowOff>9525</xdr:rowOff>
    </xdr:from>
    <xdr:to>
      <xdr:col>10</xdr:col>
      <xdr:colOff>723900</xdr:colOff>
      <xdr:row>16</xdr:row>
      <xdr:rowOff>19050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DFAEC10-6B93-4FA6-96D5-D25D248457FB}"/>
            </a:ext>
          </a:extLst>
        </xdr:cNvPr>
        <xdr:cNvSpPr/>
      </xdr:nvSpPr>
      <xdr:spPr>
        <a:xfrm>
          <a:off x="3810000" y="581025"/>
          <a:ext cx="4533900" cy="248602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/>
            <a:t>Que es?</a:t>
          </a:r>
        </a:p>
        <a:p>
          <a:r>
            <a:rPr lang="es-MX" sz="2000"/>
            <a:t>Método cerrado como bisección, pero en lugar de usar el punto medio, usa una </a:t>
          </a:r>
          <a:r>
            <a:rPr lang="es-MX" sz="2000" b="1"/>
            <a:t>recta secante entre (a,f(a)) y (b,f(b))</a:t>
          </a:r>
          <a:r>
            <a:rPr lang="es-MX" sz="2000"/>
            <a:t>.</a:t>
          </a:r>
        </a:p>
        <a:p>
          <a:r>
            <a:rPr lang="es-MX" sz="2000"/>
            <a:t>Más rápido que bisección en muchos casos.</a:t>
          </a:r>
        </a:p>
        <a:p>
          <a:pPr algn="l"/>
          <a:endParaRPr lang="es-MX" sz="1100"/>
        </a:p>
      </xdr:txBody>
    </xdr:sp>
    <xdr:clientData/>
  </xdr:twoCellAnchor>
  <xdr:twoCellAnchor>
    <xdr:from>
      <xdr:col>12</xdr:col>
      <xdr:colOff>38100</xdr:colOff>
      <xdr:row>3</xdr:row>
      <xdr:rowOff>0</xdr:rowOff>
    </xdr:from>
    <xdr:to>
      <xdr:col>18</xdr:col>
      <xdr:colOff>0</xdr:colOff>
      <xdr:row>16</xdr:row>
      <xdr:rowOff>9525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Rectángulo: esquinas redondeadas 3">
              <a:extLst>
                <a:ext uri="{FF2B5EF4-FFF2-40B4-BE49-F238E27FC236}">
                  <a16:creationId xmlns:a16="http://schemas.microsoft.com/office/drawing/2014/main" id="{679DAE7C-BFFB-4583-8C70-8F582B4764E1}"/>
                </a:ext>
              </a:extLst>
            </xdr:cNvPr>
            <xdr:cNvSpPr/>
          </xdr:nvSpPr>
          <xdr:spPr>
            <a:xfrm>
              <a:off x="9182100" y="571500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Fórmula (para obtener el siguiente valor)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/>
                      <m:t>c</m:t>
                    </m:r>
                    <m:r>
                      <m:rPr>
                        <m:nor/>
                      </m:rPr>
                      <a:rPr lang="es-MX"/>
                      <m:t>=</m:t>
                    </m:r>
                    <m:r>
                      <m:rPr>
                        <m:nor/>
                      </m:rPr>
                      <a:rPr lang="es-MX"/>
                      <m:t>b</m:t>
                    </m:r>
                    <m:r>
                      <m:rPr>
                        <m:nor/>
                      </m:rPr>
                      <a:rPr lang="es-MX"/>
                      <m:t>−</m:t>
                    </m:r>
                    <m:r>
                      <m:rPr>
                        <m:nor/>
                      </m:rPr>
                      <a:rPr lang="en-US" b="0" i="0"/>
                      <m:t>((</m:t>
                    </m:r>
                    <m:r>
                      <m:rPr>
                        <m:nor/>
                      </m:rPr>
                      <a:rPr lang="en-US" b="0" i="0"/>
                      <m:t>f</m:t>
                    </m:r>
                    <m:r>
                      <m:rPr>
                        <m:nor/>
                      </m:rPr>
                      <a:rPr lang="en-US" b="0" i="0"/>
                      <m:t>(</m:t>
                    </m:r>
                    <m:r>
                      <m:rPr>
                        <m:nor/>
                      </m:rPr>
                      <a:rPr lang="en-US" b="0" i="0"/>
                      <m:t>b</m:t>
                    </m:r>
                    <m:r>
                      <m:rPr>
                        <m:nor/>
                      </m:rPr>
                      <a:rPr lang="en-US" b="0" i="0"/>
                      <m:t>)(</m:t>
                    </m:r>
                    <m:r>
                      <m:rPr>
                        <m:nor/>
                      </m:rPr>
                      <a:rPr lang="en-US" b="0" i="0"/>
                      <m:t>b</m:t>
                    </m:r>
                    <m:r>
                      <m:rPr>
                        <m:nor/>
                      </m:rPr>
                      <a:rPr lang="en-US" b="0" i="0"/>
                      <m:t>-</m:t>
                    </m:r>
                    <m:r>
                      <m:rPr>
                        <m:nor/>
                      </m:rPr>
                      <a:rPr lang="en-US" b="0" i="0"/>
                      <m:t>a</m:t>
                    </m:r>
                    <m:r>
                      <m:rPr>
                        <m:nor/>
                      </m:rPr>
                      <a:rPr lang="en-US" b="0" i="0"/>
                      <m:t>))/(</m:t>
                    </m:r>
                    <m:r>
                      <m:rPr>
                        <m:nor/>
                      </m:rPr>
                      <a:rPr lang="en-US" b="0" i="0"/>
                      <m:t>f</m:t>
                    </m:r>
                    <m:r>
                      <m:rPr>
                        <m:nor/>
                      </m:rPr>
                      <a:rPr lang="en-US" b="0" i="0"/>
                      <m:t>(</m:t>
                    </m:r>
                    <m:r>
                      <m:rPr>
                        <m:nor/>
                      </m:rPr>
                      <a:rPr lang="en-US" b="0" i="0"/>
                      <m:t>b</m:t>
                    </m:r>
                    <m:r>
                      <m:rPr>
                        <m:nor/>
                      </m:rPr>
                      <a:rPr lang="en-US" b="0" i="0"/>
                      <m:t>)-</m:t>
                    </m:r>
                    <m:r>
                      <m:rPr>
                        <m:nor/>
                      </m:rPr>
                      <a:rPr lang="en-US" b="0" i="0"/>
                      <m:t>f</m:t>
                    </m:r>
                    <m:r>
                      <m:rPr>
                        <m:nor/>
                      </m:rPr>
                      <a:rPr lang="en-US" b="0" i="0"/>
                      <m:t>(</m:t>
                    </m:r>
                    <m:r>
                      <m:rPr>
                        <m:nor/>
                      </m:rPr>
                      <a:rPr lang="en-US" b="0" i="0"/>
                      <m:t>a</m:t>
                    </m:r>
                    <m:r>
                      <m:rPr>
                        <m:nor/>
                      </m:rPr>
                      <a:rPr lang="en-US" b="0" i="0"/>
                      <m:t>)</m:t>
                    </m:r>
                  </m:oMath>
                </m:oMathPara>
              </a14:m>
              <a:endParaRPr lang="es-MX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/>
                      <m:t>(</m:t>
                    </m:r>
                    <m:r>
                      <m:rPr>
                        <m:nor/>
                      </m:rPr>
                      <a:rPr lang="es-MX"/>
                      <m:t>Esta</m:t>
                    </m:r>
                    <m:r>
                      <m:rPr>
                        <m:nor/>
                      </m:rPr>
                      <a:rPr lang="es-MX"/>
                      <m:t> </m:t>
                    </m:r>
                    <m:r>
                      <m:rPr>
                        <m:nor/>
                      </m:rPr>
                      <a:rPr lang="es-MX"/>
                      <m:t>viene</m:t>
                    </m:r>
                    <m:r>
                      <m:rPr>
                        <m:nor/>
                      </m:rPr>
                      <a:rPr lang="es-MX"/>
                      <m:t> </m:t>
                    </m:r>
                    <m:r>
                      <m:rPr>
                        <m:nor/>
                      </m:rPr>
                      <a:rPr lang="es-MX"/>
                      <m:t>de</m:t>
                    </m:r>
                    <m:r>
                      <m:rPr>
                        <m:nor/>
                      </m:rPr>
                      <a:rPr lang="es-MX"/>
                      <m:t> </m:t>
                    </m:r>
                    <m:r>
                      <m:rPr>
                        <m:nor/>
                      </m:rPr>
                      <a:rPr lang="es-MX"/>
                      <m:t>la</m:t>
                    </m:r>
                    <m:r>
                      <m:rPr>
                        <m:nor/>
                      </m:rPr>
                      <a:rPr lang="es-MX"/>
                      <m:t> </m:t>
                    </m:r>
                    <m:r>
                      <m:rPr>
                        <m:nor/>
                      </m:rPr>
                      <a:rPr lang="es-MX"/>
                      <m:t>ecuaci</m:t>
                    </m:r>
                    <m:r>
                      <m:rPr>
                        <m:nor/>
                      </m:rPr>
                      <a:rPr lang="es-MX"/>
                      <m:t>ó</m:t>
                    </m:r>
                    <m:r>
                      <m:rPr>
                        <m:nor/>
                      </m:rPr>
                      <a:rPr lang="es-MX"/>
                      <m:t>n</m:t>
                    </m:r>
                    <m:r>
                      <m:rPr>
                        <m:nor/>
                      </m:rPr>
                      <a:rPr lang="es-MX"/>
                      <m:t> </m:t>
                    </m:r>
                    <m:r>
                      <m:rPr>
                        <m:nor/>
                      </m:rPr>
                      <a:rPr lang="es-MX"/>
                      <m:t>de</m:t>
                    </m:r>
                    <m:r>
                      <m:rPr>
                        <m:nor/>
                      </m:rPr>
                      <a:rPr lang="es-MX"/>
                      <m:t> </m:t>
                    </m:r>
                    <m:r>
                      <m:rPr>
                        <m:nor/>
                      </m:rPr>
                      <a:rPr lang="es-MX"/>
                      <m:t>la</m:t>
                    </m:r>
                    <m:r>
                      <m:rPr>
                        <m:nor/>
                      </m:rPr>
                      <a:rPr lang="es-MX"/>
                      <m:t> </m:t>
                    </m:r>
                    <m:r>
                      <m:rPr>
                        <m:nor/>
                      </m:rPr>
                      <a:rPr lang="es-MX"/>
                      <m:t>recta</m:t>
                    </m:r>
                    <m:r>
                      <m:rPr>
                        <m:nor/>
                      </m:rPr>
                      <a:rPr lang="es-MX"/>
                      <m:t>)</m:t>
                    </m:r>
                  </m:oMath>
                </m:oMathPara>
              </a14:m>
              <a:endParaRPr lang="es-MX"/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4" name="Rectángulo: esquinas redondeadas 3">
              <a:extLst>
                <a:ext uri="{FF2B5EF4-FFF2-40B4-BE49-F238E27FC236}">
                  <a16:creationId xmlns:a16="http://schemas.microsoft.com/office/drawing/2014/main" id="{679DAE7C-BFFB-4583-8C70-8F582B4764E1}"/>
                </a:ext>
              </a:extLst>
            </xdr:cNvPr>
            <xdr:cNvSpPr/>
          </xdr:nvSpPr>
          <xdr:spPr>
            <a:xfrm>
              <a:off x="9182100" y="571500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Fórmula (para obtener el siguiente valor)</a:t>
              </a:r>
            </a:p>
            <a:p>
              <a:r>
                <a:rPr lang="es-MX" i="0">
                  <a:latin typeface="Cambria Math" panose="02040503050406030204" pitchFamily="18" charset="0"/>
                </a:rPr>
                <a:t>"c=b−</a:t>
              </a:r>
              <a:r>
                <a:rPr lang="en-US" b="0" i="0">
                  <a:latin typeface="Cambria Math" panose="02040503050406030204" pitchFamily="18" charset="0"/>
                </a:rPr>
                <a:t>((f(b)(b-a))/(f(b)-f(a)</a:t>
              </a:r>
              <a:r>
                <a:rPr lang="es-MX" b="0" i="0"/>
                <a:t>"</a:t>
              </a:r>
              <a:endParaRPr lang="es-MX"/>
            </a:p>
            <a:p>
              <a:r>
                <a:rPr lang="es-MX" i="0">
                  <a:latin typeface="Cambria Math" panose="02040503050406030204" pitchFamily="18" charset="0"/>
                </a:rPr>
                <a:t>"(Esta viene de la ecuación de la recta)</a:t>
              </a:r>
              <a:r>
                <a:rPr lang="es-MX" i="0"/>
                <a:t>"</a:t>
              </a:r>
              <a:endParaRPr lang="es-MX"/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Fallback>
    </mc:AlternateContent>
    <xdr:clientData/>
  </xdr:twoCellAnchor>
  <xdr:twoCellAnchor>
    <xdr:from>
      <xdr:col>5</xdr:col>
      <xdr:colOff>47625</xdr:colOff>
      <xdr:row>20</xdr:row>
      <xdr:rowOff>123825</xdr:rowOff>
    </xdr:from>
    <xdr:to>
      <xdr:col>11</xdr:col>
      <xdr:colOff>9525</xdr:colOff>
      <xdr:row>33</xdr:row>
      <xdr:rowOff>133350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Rectángulo: esquinas redondeadas 4">
              <a:extLst>
                <a:ext uri="{FF2B5EF4-FFF2-40B4-BE49-F238E27FC236}">
                  <a16:creationId xmlns:a16="http://schemas.microsoft.com/office/drawing/2014/main" id="{5E9E0536-4B0B-48C7-82B7-7CD9D920F280}"/>
                </a:ext>
              </a:extLst>
            </xdr:cNvPr>
            <xdr:cNvSpPr/>
          </xdr:nvSpPr>
          <xdr:spPr>
            <a:xfrm>
              <a:off x="3857625" y="3933825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b="1"/>
                <a:t>Algoritmo</a:t>
              </a:r>
            </a:p>
            <a:p>
              <a:r>
                <a:rPr lang="es-MX"/>
                <a:t>Verificar </a:t>
              </a:r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𝑎</m:t>
                      </m:r>
                    </m:e>
                  </m:d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𝑏</m:t>
                      </m:r>
                    </m:e>
                  </m:d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&lt;</m:t>
                  </m:r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0</m:t>
                  </m:r>
                </m:oMath>
              </a14:m>
              <a:endParaRPr lang="ar-AE"/>
            </a:p>
            <a:p>
              <a:r>
                <a:rPr lang="es-MX"/>
                <a:t>Calcular: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𝑐</m:t>
                    </m:r>
                    <m:r>
                      <a:rPr lang="es-MX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s-MX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𝑏</m:t>
                    </m:r>
                    <m:r>
                      <a:rPr lang="es-MX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</m:d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𝑏</m:t>
                            </m:r>
                            <m:r>
                              <a:rPr lang="ar-AE" sz="1100" i="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num>
                      <m:den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</m:d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ar-AE"/>
            </a:p>
            <a:p>
              <a:r>
                <a:rPr lang="es-MX"/>
                <a:t>Evaluar </a:t>
              </a:r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𝑐</m:t>
                      </m:r>
                    </m:e>
                  </m:d>
                </m:oMath>
              </a14:m>
              <a:endParaRPr lang="ar-AE"/>
            </a:p>
            <a:p>
              <a:r>
                <a:rPr lang="es-MX"/>
                <a:t>Si:</a:t>
              </a:r>
            </a:p>
            <a:p>
              <a:pPr lvl="1"/>
              <a14:m>
                <m:oMath xmlns:m="http://schemas.openxmlformats.org/officeDocument/2006/math">
                  <m:r>
                    <a:rPr lang="es-MX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𝑎</m:t>
                      </m:r>
                    </m:e>
                  </m:d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𝑐</m:t>
                      </m:r>
                    </m:e>
                  </m:d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&lt;</m:t>
                  </m:r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0</m:t>
                  </m:r>
                </m:oMath>
              </a14:m>
              <a:r>
                <a:rPr lang="ar-AE"/>
                <a:t>→ </a:t>
              </a:r>
              <a14:m>
                <m:oMath xmlns:m="http://schemas.openxmlformats.org/officeDocument/2006/math"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𝑏</m:t>
                  </m:r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𝑐</m:t>
                  </m:r>
                </m:oMath>
              </a14:m>
              <a:endParaRPr lang="ar-AE"/>
            </a:p>
            <a:p>
              <a:pPr lvl="1"/>
              <a14:m>
                <m:oMath xmlns:m="http://schemas.openxmlformats.org/officeDocument/2006/math"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𝑎</m:t>
                      </m:r>
                    </m:e>
                  </m:d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𝑐</m:t>
                      </m:r>
                    </m:e>
                  </m:d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&gt;</m:t>
                  </m:r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0</m:t>
                  </m:r>
                </m:oMath>
              </a14:m>
              <a:r>
                <a:rPr lang="ar-AE"/>
                <a:t>→ </a:t>
              </a:r>
              <a14:m>
                <m:oMath xmlns:m="http://schemas.openxmlformats.org/officeDocument/2006/math"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𝑎</m:t>
                  </m:r>
                  <m:r>
                    <a:rPr lang="ar-AE" sz="1100" i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ar-AE" sz="1100" i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m:t>𝑐</m:t>
                  </m:r>
                </m:oMath>
              </a14:m>
              <a:endParaRPr lang="ar-AE"/>
            </a:p>
            <a:p>
              <a:r>
                <a:rPr lang="es-MX"/>
                <a:t>Repetir.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5" name="Rectángulo: esquinas redondeadas 4">
              <a:extLst>
                <a:ext uri="{FF2B5EF4-FFF2-40B4-BE49-F238E27FC236}">
                  <a16:creationId xmlns:a16="http://schemas.microsoft.com/office/drawing/2014/main" id="{5E9E0536-4B0B-48C7-82B7-7CD9D920F280}"/>
                </a:ext>
              </a:extLst>
            </xdr:cNvPr>
            <xdr:cNvSpPr/>
          </xdr:nvSpPr>
          <xdr:spPr>
            <a:xfrm>
              <a:off x="3857625" y="3933825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b="1"/>
                <a:t>Algoritmo</a:t>
              </a:r>
            </a:p>
            <a:p>
              <a:r>
                <a:rPr lang="es-MX"/>
                <a:t>Verificar </a:t>
              </a:r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(𝑎)𝑓(𝑏)&lt;0</a:t>
              </a:r>
              <a:endParaRPr lang="ar-AE"/>
            </a:p>
            <a:p>
              <a:r>
                <a:rPr lang="es-MX"/>
                <a:t>Calcular:</a:t>
              </a:r>
            </a:p>
            <a:p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𝑐=𝑏−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𝑓(𝑏)(𝑏−𝑎)/(𝑓(𝑏)−𝑓(𝑎) )</a:t>
              </a:r>
              <a:endParaRPr lang="ar-AE"/>
            </a:p>
            <a:p>
              <a:r>
                <a:rPr lang="es-MX"/>
                <a:t>Evaluar </a:t>
              </a:r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(𝑐)</a:t>
              </a:r>
              <a:endParaRPr lang="ar-AE"/>
            </a:p>
            <a:p>
              <a:r>
                <a:rPr lang="es-MX"/>
                <a:t>Si:</a:t>
              </a:r>
            </a:p>
            <a:p>
              <a:pPr lvl="1"/>
              <a:r>
                <a:rPr lang="es-MX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(𝑎)𝑓(𝑐)&lt;0</a:t>
              </a:r>
              <a:r>
                <a:rPr lang="ar-AE"/>
                <a:t>→ 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𝑏=𝑐</a:t>
              </a:r>
              <a:endParaRPr lang="ar-AE"/>
            </a:p>
            <a:p>
              <a:pPr lvl="1"/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𝑓(𝑎)𝑓(𝑐)&gt;0</a:t>
              </a:r>
              <a:r>
                <a:rPr lang="ar-AE"/>
                <a:t>→ 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𝑎=𝑐</a:t>
              </a:r>
              <a:endParaRPr lang="ar-AE"/>
            </a:p>
            <a:p>
              <a:r>
                <a:rPr lang="es-MX"/>
                <a:t>Repetir.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Fallback>
    </mc:AlternateContent>
    <xdr:clientData/>
  </xdr:twoCellAnchor>
  <xdr:twoCellAnchor>
    <xdr:from>
      <xdr:col>12</xdr:col>
      <xdr:colOff>85725</xdr:colOff>
      <xdr:row>20</xdr:row>
      <xdr:rowOff>28575</xdr:rowOff>
    </xdr:from>
    <xdr:to>
      <xdr:col>18</xdr:col>
      <xdr:colOff>47625</xdr:colOff>
      <xdr:row>33</xdr:row>
      <xdr:rowOff>38100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9E818621-333E-412C-A7D4-5ACA84422FEC}"/>
                </a:ext>
              </a:extLst>
            </xdr:cNvPr>
            <xdr:cNvSpPr/>
          </xdr:nvSpPr>
          <xdr:spPr>
            <a:xfrm>
              <a:off x="9229725" y="3838575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Implementación </a:t>
              </a:r>
            </a:p>
            <a:p>
              <a:r>
                <a:rPr lang="es-MX" sz="2000" b="1"/>
                <a:t>Implementación (siguiente iteración)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𝑐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  <m:r>
                              <a:rPr lang="ar-AE" sz="1100" i="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ar-AE" sz="2000"/>
            </a:p>
            <a:p>
              <a:r>
                <a:rPr lang="es-MX" sz="2000"/>
                <a:t>Y actualizas el intervalo igual que en bisección.</a:t>
              </a:r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9E818621-333E-412C-A7D4-5ACA84422FEC}"/>
                </a:ext>
              </a:extLst>
            </xdr:cNvPr>
            <xdr:cNvSpPr/>
          </xdr:nvSpPr>
          <xdr:spPr>
            <a:xfrm>
              <a:off x="9229725" y="3838575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Implementación </a:t>
              </a:r>
            </a:p>
            <a:p>
              <a:r>
                <a:rPr lang="es-MX" sz="2000" b="1"/>
                <a:t>Implementación (siguiente iteración)</a:t>
              </a:r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𝑐_𝑛=𝑏_𝑛−𝑓(𝑏_𝑛 )(𝑏_𝑛−𝑎_𝑛 )/(𝑓(𝑏_𝑛 )−𝑓(𝑎_𝑛 ) )</a:t>
              </a:r>
              <a:endParaRPr lang="ar-AE" sz="2000"/>
            </a:p>
            <a:p>
              <a:r>
                <a:rPr lang="es-MX" sz="2000"/>
                <a:t>Y actualizas el intervalo igual que en bisección.</a:t>
              </a:r>
            </a:p>
            <a:p>
              <a:pPr algn="l"/>
              <a:endParaRPr lang="es-MX"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247650</xdr:colOff>
      <xdr:row>4</xdr:row>
      <xdr:rowOff>47625</xdr:rowOff>
    </xdr:to>
    <xdr:sp macro="" textlink="">
      <xdr:nvSpPr>
        <xdr:cNvPr id="2" name="Diagrama de flujo: cinta perforada 1">
          <a:extLst>
            <a:ext uri="{FF2B5EF4-FFF2-40B4-BE49-F238E27FC236}">
              <a16:creationId xmlns:a16="http://schemas.microsoft.com/office/drawing/2014/main" id="{FCEE6735-DF43-471E-880B-7D2A61C5CAF8}"/>
            </a:ext>
          </a:extLst>
        </xdr:cNvPr>
        <xdr:cNvSpPr/>
      </xdr:nvSpPr>
      <xdr:spPr>
        <a:xfrm>
          <a:off x="0" y="0"/>
          <a:ext cx="1771650" cy="809625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800"/>
            <a:t>Newton</a:t>
          </a:r>
          <a:endParaRPr lang="es-MX" sz="1100"/>
        </a:p>
      </xdr:txBody>
    </xdr:sp>
    <xdr:clientData/>
  </xdr:twoCellAnchor>
  <xdr:twoCellAnchor>
    <xdr:from>
      <xdr:col>4</xdr:col>
      <xdr:colOff>0</xdr:colOff>
      <xdr:row>5</xdr:row>
      <xdr:rowOff>9525</xdr:rowOff>
    </xdr:from>
    <xdr:to>
      <xdr:col>9</xdr:col>
      <xdr:colOff>276225</xdr:colOff>
      <xdr:row>18</xdr:row>
      <xdr:rowOff>19050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52D98B48-45B0-43DA-99D0-8230FA498DB4}"/>
            </a:ext>
          </a:extLst>
        </xdr:cNvPr>
        <xdr:cNvSpPr/>
      </xdr:nvSpPr>
      <xdr:spPr>
        <a:xfrm>
          <a:off x="2638425" y="962025"/>
          <a:ext cx="4533900" cy="248602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/>
            <a:t>Que es?</a:t>
          </a:r>
        </a:p>
        <a:p>
          <a:r>
            <a:rPr lang="es-MX" sz="2000"/>
            <a:t>Método abierto (no necesita intervalo).</a:t>
          </a:r>
          <a:br>
            <a:rPr lang="es-MX" sz="2000"/>
          </a:br>
          <a:r>
            <a:rPr lang="es-MX" sz="2000"/>
            <a:t>Usa la derivada de la función.</a:t>
          </a:r>
        </a:p>
        <a:p>
          <a:r>
            <a:rPr lang="es-MX" sz="2000"/>
            <a:t>Es mucho más rápido (convergencia cuadrática).</a:t>
          </a:r>
        </a:p>
        <a:p>
          <a:pPr algn="l"/>
          <a:endParaRPr lang="es-MX" sz="1100"/>
        </a:p>
      </xdr:txBody>
    </xdr:sp>
    <xdr:clientData/>
  </xdr:twoCellAnchor>
  <xdr:twoCellAnchor>
    <xdr:from>
      <xdr:col>10</xdr:col>
      <xdr:colOff>352425</xdr:colOff>
      <xdr:row>5</xdr:row>
      <xdr:rowOff>0</xdr:rowOff>
    </xdr:from>
    <xdr:to>
      <xdr:col>16</xdr:col>
      <xdr:colOff>314325</xdr:colOff>
      <xdr:row>18</xdr:row>
      <xdr:rowOff>9525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B8A9D96-8F1B-4AC0-BEE9-4A917B1E9311}"/>
            </a:ext>
          </a:extLst>
        </xdr:cNvPr>
        <xdr:cNvSpPr/>
      </xdr:nvSpPr>
      <xdr:spPr>
        <a:xfrm>
          <a:off x="8010525" y="952500"/>
          <a:ext cx="4533900" cy="248602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MX" sz="2000" b="1"/>
            <a:t>Fórmula </a:t>
          </a:r>
        </a:p>
        <a:p>
          <a:r>
            <a:rPr lang="es-MX" sz="2000"/>
            <a:t>xn+1​=xn​−f′(xn​)f(xn​)​ </a:t>
          </a:r>
        </a:p>
        <a:p>
          <a:pPr algn="l"/>
          <a:endParaRPr lang="es-MX" sz="1100"/>
        </a:p>
      </xdr:txBody>
    </xdr:sp>
    <xdr:clientData/>
  </xdr:twoCellAnchor>
  <xdr:twoCellAnchor>
    <xdr:from>
      <xdr:col>4</xdr:col>
      <xdr:colOff>47625</xdr:colOff>
      <xdr:row>22</xdr:row>
      <xdr:rowOff>123825</xdr:rowOff>
    </xdr:from>
    <xdr:to>
      <xdr:col>9</xdr:col>
      <xdr:colOff>323850</xdr:colOff>
      <xdr:row>35</xdr:row>
      <xdr:rowOff>133350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Rectángulo: esquinas redondeadas 4">
              <a:extLst>
                <a:ext uri="{FF2B5EF4-FFF2-40B4-BE49-F238E27FC236}">
                  <a16:creationId xmlns:a16="http://schemas.microsoft.com/office/drawing/2014/main" id="{2BCDDB73-8C36-4E83-9637-C278AC73B3B5}"/>
                </a:ext>
              </a:extLst>
            </xdr:cNvPr>
            <xdr:cNvSpPr/>
          </xdr:nvSpPr>
          <xdr:spPr>
            <a:xfrm>
              <a:off x="2686050" y="4314825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b="1"/>
                <a:t>Algoritmo</a:t>
              </a:r>
            </a:p>
            <a:p>
              <a:r>
                <a:rPr lang="es-MX"/>
                <a:t>Elegir un valor inicial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ar-AE" sz="1100" i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endParaRPr lang="ar-AE"/>
            </a:p>
            <a:p>
              <a:r>
                <a:rPr lang="es-MX"/>
                <a:t>Calcular: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</m:num>
                      <m:den>
                        <m:sSup>
                          <m:sSup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𝑓</m:t>
                            </m:r>
                          </m:e>
                          <m:sup>
                            <m:r>
                              <a:rPr lang="ar-AE" sz="1100" i="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ar-AE"/>
            </a:p>
            <a:p>
              <a:r>
                <a:rPr lang="es-MX"/>
                <a:t>Repetir hasta que el error sea pequeño.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5" name="Rectángulo: esquinas redondeadas 4">
              <a:extLst>
                <a:ext uri="{FF2B5EF4-FFF2-40B4-BE49-F238E27FC236}">
                  <a16:creationId xmlns:a16="http://schemas.microsoft.com/office/drawing/2014/main" id="{2BCDDB73-8C36-4E83-9637-C278AC73B3B5}"/>
                </a:ext>
              </a:extLst>
            </xdr:cNvPr>
            <xdr:cNvSpPr/>
          </xdr:nvSpPr>
          <xdr:spPr>
            <a:xfrm>
              <a:off x="2686050" y="4314825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b="1"/>
                <a:t>Algoritmo</a:t>
              </a:r>
            </a:p>
            <a:p>
              <a:r>
                <a:rPr lang="es-MX"/>
                <a:t>Elegir un valor inicial 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𝑥_0</a:t>
              </a:r>
              <a:endParaRPr lang="ar-AE"/>
            </a:p>
            <a:p>
              <a:r>
                <a:rPr lang="es-MX"/>
                <a:t>Calcular:</a:t>
              </a:r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𝑥_(𝑛+1)=𝑥_𝑛−𝑓(𝑥_𝑛 )/(𝑓^′ (𝑥_𝑛 ) )</a:t>
              </a:r>
              <a:endParaRPr lang="ar-AE"/>
            </a:p>
            <a:p>
              <a:r>
                <a:rPr lang="es-MX"/>
                <a:t>Repetir hasta que el error sea pequeño.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Fallback>
    </mc:AlternateContent>
    <xdr:clientData/>
  </xdr:twoCellAnchor>
  <xdr:twoCellAnchor>
    <xdr:from>
      <xdr:col>10</xdr:col>
      <xdr:colOff>400050</xdr:colOff>
      <xdr:row>22</xdr:row>
      <xdr:rowOff>28575</xdr:rowOff>
    </xdr:from>
    <xdr:to>
      <xdr:col>16</xdr:col>
      <xdr:colOff>361950</xdr:colOff>
      <xdr:row>35</xdr:row>
      <xdr:rowOff>38100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9695068F-5690-4712-86EE-5D9F4D29B6E8}"/>
                </a:ext>
              </a:extLst>
            </xdr:cNvPr>
            <xdr:cNvSpPr/>
          </xdr:nvSpPr>
          <xdr:spPr>
            <a:xfrm>
              <a:off x="8058150" y="4219575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Implementación </a:t>
              </a:r>
            </a:p>
            <a:p>
              <a:r>
                <a:rPr lang="es-MX" sz="2000"/>
                <a:t>Solo se necesita: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ar-AE" sz="200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ar-AE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ar-AE" sz="200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ar-AE"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</m:e>
                      <m:sup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ar-AE" sz="2000"/>
            </a:p>
            <a:p>
              <a:r>
                <a:rPr lang="es-MX" sz="2000"/>
                <a:t>Y sustituyes en la fórmula.</a:t>
              </a:r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9695068F-5690-4712-86EE-5D9F4D29B6E8}"/>
                </a:ext>
              </a:extLst>
            </xdr:cNvPr>
            <xdr:cNvSpPr/>
          </xdr:nvSpPr>
          <xdr:spPr>
            <a:xfrm>
              <a:off x="8058150" y="4219575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Implementación </a:t>
              </a:r>
            </a:p>
            <a:p>
              <a:r>
                <a:rPr lang="es-MX" sz="2000"/>
                <a:t>Solo se necesita:</a:t>
              </a:r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𝑥_𝑛</a:t>
              </a:r>
              <a:endParaRPr lang="ar-AE" sz="2000"/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𝑓(𝑥_𝑛 )</a:t>
              </a:r>
              <a:endParaRPr lang="ar-AE" sz="2000"/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𝑓^′ (𝑥_𝑛 )</a:t>
              </a:r>
              <a:endParaRPr lang="ar-AE" sz="2000"/>
            </a:p>
            <a:p>
              <a:r>
                <a:rPr lang="es-MX" sz="2000"/>
                <a:t>Y sustituyes en la fórmula.</a:t>
              </a:r>
            </a:p>
            <a:p>
              <a:pPr algn="l"/>
              <a:endParaRPr lang="es-MX"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152400</xdr:colOff>
      <xdr:row>4</xdr:row>
      <xdr:rowOff>19050</xdr:rowOff>
    </xdr:to>
    <xdr:sp macro="" textlink="">
      <xdr:nvSpPr>
        <xdr:cNvPr id="2" name="Diagrama de flujo: cinta perforada 1">
          <a:extLst>
            <a:ext uri="{FF2B5EF4-FFF2-40B4-BE49-F238E27FC236}">
              <a16:creationId xmlns:a16="http://schemas.microsoft.com/office/drawing/2014/main" id="{D69D7DB6-EC8F-4FC9-9534-79904FFF6E23}"/>
            </a:ext>
          </a:extLst>
        </xdr:cNvPr>
        <xdr:cNvSpPr/>
      </xdr:nvSpPr>
      <xdr:spPr>
        <a:xfrm>
          <a:off x="0" y="0"/>
          <a:ext cx="1676400" cy="78105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800"/>
            <a:t>Secante</a:t>
          </a:r>
          <a:endParaRPr lang="es-MX" sz="1100"/>
        </a:p>
      </xdr:txBody>
    </xdr:sp>
    <xdr:clientData/>
  </xdr:twoCellAnchor>
  <xdr:twoCellAnchor>
    <xdr:from>
      <xdr:col>3</xdr:col>
      <xdr:colOff>0</xdr:colOff>
      <xdr:row>4</xdr:row>
      <xdr:rowOff>76200</xdr:rowOff>
    </xdr:from>
    <xdr:to>
      <xdr:col>8</xdr:col>
      <xdr:colOff>723900</xdr:colOff>
      <xdr:row>17</xdr:row>
      <xdr:rowOff>85725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BF58F4DB-85E2-4215-B153-6CACB19BE37B}"/>
            </a:ext>
          </a:extLst>
        </xdr:cNvPr>
        <xdr:cNvSpPr/>
      </xdr:nvSpPr>
      <xdr:spPr>
        <a:xfrm>
          <a:off x="2286000" y="838200"/>
          <a:ext cx="4533900" cy="248602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/>
            <a:t>Que es?</a:t>
          </a:r>
        </a:p>
        <a:p>
          <a:r>
            <a:rPr lang="es-MX" sz="2000"/>
            <a:t>Similar a Newton, pero </a:t>
          </a:r>
          <a:r>
            <a:rPr lang="es-MX" sz="2000" b="1"/>
            <a:t>no necesita derivada</a:t>
          </a:r>
          <a:r>
            <a:rPr lang="es-MX" sz="2000"/>
            <a:t>.</a:t>
          </a:r>
          <a:br>
            <a:rPr lang="es-MX" sz="2000"/>
          </a:br>
          <a:r>
            <a:rPr lang="es-MX" sz="2000"/>
            <a:t>Usa dos puntos anteriores para aproximar la pendiente.</a:t>
          </a:r>
        </a:p>
        <a:p>
          <a:pPr algn="l"/>
          <a:endParaRPr lang="es-MX" sz="1100"/>
        </a:p>
      </xdr:txBody>
    </xdr:sp>
    <xdr:clientData/>
  </xdr:twoCellAnchor>
  <xdr:twoCellAnchor>
    <xdr:from>
      <xdr:col>10</xdr:col>
      <xdr:colOff>38100</xdr:colOff>
      <xdr:row>4</xdr:row>
      <xdr:rowOff>66675</xdr:rowOff>
    </xdr:from>
    <xdr:to>
      <xdr:col>16</xdr:col>
      <xdr:colOff>0</xdr:colOff>
      <xdr:row>17</xdr:row>
      <xdr:rowOff>76200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8ADFC23-6BAB-4F87-A592-79414D450FF0}"/>
            </a:ext>
          </a:extLst>
        </xdr:cNvPr>
        <xdr:cNvSpPr/>
      </xdr:nvSpPr>
      <xdr:spPr>
        <a:xfrm>
          <a:off x="7658100" y="828675"/>
          <a:ext cx="4533900" cy="248602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MX" sz="2000" b="1"/>
            <a:t>Fórmula </a:t>
          </a:r>
        </a:p>
        <a:p>
          <a:endParaRPr lang="es-MX" sz="2000"/>
        </a:p>
        <a:p>
          <a:pPr algn="l"/>
          <a:endParaRPr lang="es-MX" sz="1100"/>
        </a:p>
      </xdr:txBody>
    </xdr:sp>
    <xdr:clientData/>
  </xdr:twoCellAnchor>
  <xdr:twoCellAnchor>
    <xdr:from>
      <xdr:col>3</xdr:col>
      <xdr:colOff>47625</xdr:colOff>
      <xdr:row>22</xdr:row>
      <xdr:rowOff>0</xdr:rowOff>
    </xdr:from>
    <xdr:to>
      <xdr:col>9</xdr:col>
      <xdr:colOff>9525</xdr:colOff>
      <xdr:row>35</xdr:row>
      <xdr:rowOff>9525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F125E72D-9A9E-4C8C-9CB0-88CBA04C017C}"/>
                </a:ext>
              </a:extLst>
            </xdr:cNvPr>
            <xdr:cNvSpPr/>
          </xdr:nvSpPr>
          <xdr:spPr>
            <a:xfrm>
              <a:off x="2333625" y="4191000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b="1"/>
                <a:t>Algoritmo</a:t>
              </a:r>
            </a:p>
            <a:p>
              <a:r>
                <a:rPr lang="es-MX"/>
                <a:t>Elegir dos valores iniciales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ar-AE" sz="1100" i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s-MX"/>
                <a:t>y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ar-AE" sz="1100" i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endParaRPr lang="ar-AE"/>
            </a:p>
            <a:p>
              <a:r>
                <a:rPr lang="es-MX"/>
                <a:t>Calcular: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  <m:r>
                      <a:rPr lang="ar-AE" sz="1100" i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−</m:t>
                    </m:r>
                    <m:r>
                      <a:rPr lang="ar-AE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</m:e>
                    </m:d>
                    <m:f>
                      <m:f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ar-AE" sz="1100" i="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  <m:d>
                          <m:d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ar-AE" sz="1100" i="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ar-AE" sz="1100" i="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ar-AE"/>
            </a:p>
            <a:p>
              <a:r>
                <a:rPr lang="es-MX"/>
                <a:t>Repetir usando siempre los dos últimos valores.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F125E72D-9A9E-4C8C-9CB0-88CBA04C017C}"/>
                </a:ext>
              </a:extLst>
            </xdr:cNvPr>
            <xdr:cNvSpPr/>
          </xdr:nvSpPr>
          <xdr:spPr>
            <a:xfrm>
              <a:off x="2333625" y="4191000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b="1"/>
                <a:t>Algoritmo</a:t>
              </a:r>
            </a:p>
            <a:p>
              <a:r>
                <a:rPr lang="es-MX"/>
                <a:t>Elegir dos valores iniciales 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𝑥_0</a:t>
              </a:r>
              <a:r>
                <a:rPr lang="es-MX"/>
                <a:t>y </a:t>
              </a:r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𝑥_1</a:t>
              </a:r>
              <a:endParaRPr lang="ar-AE"/>
            </a:p>
            <a:p>
              <a:r>
                <a:rPr lang="es-MX"/>
                <a:t>Calcular:</a:t>
              </a:r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𝑥_(𝑛+1)=𝑥_𝑛−𝑓(𝑥_𝑛 )  (𝑥_𝑛−𝑥_(𝑛−1))/(𝑓(𝑥_𝑛 )−𝑓(𝑥_(𝑛−1) ) )</a:t>
              </a:r>
              <a:endParaRPr lang="ar-AE"/>
            </a:p>
            <a:p>
              <a:r>
                <a:rPr lang="es-MX"/>
                <a:t>Repetir usando siempre los dos últimos valores.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Fallback>
    </mc:AlternateContent>
    <xdr:clientData/>
  </xdr:twoCellAnchor>
  <xdr:twoCellAnchor>
    <xdr:from>
      <xdr:col>10</xdr:col>
      <xdr:colOff>85725</xdr:colOff>
      <xdr:row>21</xdr:row>
      <xdr:rowOff>95250</xdr:rowOff>
    </xdr:from>
    <xdr:to>
      <xdr:col>16</xdr:col>
      <xdr:colOff>47625</xdr:colOff>
      <xdr:row>34</xdr:row>
      <xdr:rowOff>104775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554A844B-54DF-4444-B2AE-BB4CECF248EE}"/>
                </a:ext>
              </a:extLst>
            </xdr:cNvPr>
            <xdr:cNvSpPr/>
          </xdr:nvSpPr>
          <xdr:spPr>
            <a:xfrm>
              <a:off x="7705725" y="4095750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Implementación </a:t>
              </a:r>
            </a:p>
            <a:p>
              <a:r>
                <a:rPr lang="es-MX" sz="2000"/>
                <a:t>Siempre necesitas: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ar-AE" sz="200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ar-AE" sz="200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ar-AE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ar-AE" sz="200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ar-AE" sz="1100" i="1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ar-AE" sz="1100" i="1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ar-AE" sz="1100" i="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i="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ar-AE" sz="2000"/>
            </a:p>
            <a:p>
              <a:r>
                <a:rPr lang="es-MX" sz="2000"/>
                <a:t>Y aplicas la fórmula.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Choice>
      <mc:Fallback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554A844B-54DF-4444-B2AE-BB4CECF248EE}"/>
                </a:ext>
              </a:extLst>
            </xdr:cNvPr>
            <xdr:cNvSpPr/>
          </xdr:nvSpPr>
          <xdr:spPr>
            <a:xfrm>
              <a:off x="7705725" y="4095750"/>
              <a:ext cx="4533900" cy="2486025"/>
            </a:xfrm>
            <a:prstGeom prst="roundRect">
              <a:avLst/>
            </a:prstGeom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es-MX" sz="2000" b="1"/>
                <a:t>Implementación </a:t>
              </a:r>
            </a:p>
            <a:p>
              <a:r>
                <a:rPr lang="es-MX" sz="2000"/>
                <a:t>Siempre necesitas:</a:t>
              </a:r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𝑥_𝑛</a:t>
              </a:r>
              <a:endParaRPr lang="ar-AE" sz="2000"/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𝑥_(𝑛−1)</a:t>
              </a:r>
              <a:endParaRPr lang="ar-AE" sz="2000"/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𝑓(𝑥_𝑛 )</a:t>
              </a:r>
              <a:endParaRPr lang="ar-AE" sz="2000"/>
            </a:p>
            <a:p>
              <a:r>
                <a:rPr lang="ar-AE" sz="1100" i="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𝑓(𝑥_(𝑛−1) )</a:t>
              </a:r>
              <a:endParaRPr lang="ar-AE" sz="2000"/>
            </a:p>
            <a:p>
              <a:r>
                <a:rPr lang="es-MX" sz="2000"/>
                <a:t>Y aplicas la fórmula.</a:t>
              </a:r>
            </a:p>
            <a:p>
              <a:pPr algn="ctr"/>
              <a:endParaRPr lang="es-MX" sz="2000"/>
            </a:p>
            <a:p>
              <a:pPr algn="l"/>
              <a:endParaRPr lang="es-MX" sz="1100"/>
            </a:p>
          </xdr:txBody>
        </xdr:sp>
      </mc:Fallback>
    </mc:AlternateContent>
    <xdr:clientData/>
  </xdr:twoCellAnchor>
  <xdr:twoCellAnchor editAs="oneCell">
    <xdr:from>
      <xdr:col>11</xdr:col>
      <xdr:colOff>133350</xdr:colOff>
      <xdr:row>10</xdr:row>
      <xdr:rowOff>142875</xdr:rowOff>
    </xdr:from>
    <xdr:to>
      <xdr:col>14</xdr:col>
      <xdr:colOff>486143</xdr:colOff>
      <xdr:row>13</xdr:row>
      <xdr:rowOff>85797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7E780CA-EE9F-49AD-ED07-20F947430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50" y="2047875"/>
          <a:ext cx="2638793" cy="514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BB89-766D-4594-B4B3-ADC6958D98C2}">
  <sheetPr codeName="Hoja1"/>
  <dimension ref="A1"/>
  <sheetViews>
    <sheetView workbookViewId="0">
      <selection activeCell="H37" sqref="H37"/>
    </sheetView>
  </sheetViews>
  <sheetFormatPr baseColWidth="10" defaultRowHeight="15" x14ac:dyDescent="0.25"/>
  <cols>
    <col min="1" max="16384" width="11.42578125" style="4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irBiseccion">
                <anchor moveWithCells="1" sizeWithCells="1">
                  <from>
                    <xdr:col>6</xdr:col>
                    <xdr:colOff>114300</xdr:colOff>
                    <xdr:row>9</xdr:row>
                    <xdr:rowOff>171450</xdr:rowOff>
                  </from>
                  <to>
                    <xdr:col>10</xdr:col>
                    <xdr:colOff>9525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periodo">
                <anchor moveWithCells="1" sizeWithCells="1">
                  <from>
                    <xdr:col>6</xdr:col>
                    <xdr:colOff>104775</xdr:colOff>
                    <xdr:row>16</xdr:row>
                    <xdr:rowOff>76200</xdr:rowOff>
                  </from>
                  <to>
                    <xdr:col>10</xdr:col>
                    <xdr:colOff>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Newton">
                <anchor moveWithCells="1" sizeWithCells="1">
                  <from>
                    <xdr:col>6</xdr:col>
                    <xdr:colOff>95250</xdr:colOff>
                    <xdr:row>23</xdr:row>
                    <xdr:rowOff>47625</xdr:rowOff>
                  </from>
                  <to>
                    <xdr:col>9</xdr:col>
                    <xdr:colOff>752475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 macro="[0]!Secante">
                <anchor moveWithCells="1" sizeWithCells="1">
                  <from>
                    <xdr:col>6</xdr:col>
                    <xdr:colOff>85725</xdr:colOff>
                    <xdr:row>29</xdr:row>
                    <xdr:rowOff>142875</xdr:rowOff>
                  </from>
                  <to>
                    <xdr:col>9</xdr:col>
                    <xdr:colOff>742950</xdr:colOff>
                    <xdr:row>33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3259-45A2-4331-856F-7AC73304C75F}">
  <sheetPr codeName="Hoja2"/>
  <dimension ref="B47:AC71"/>
  <sheetViews>
    <sheetView topLeftCell="G40" zoomScaleNormal="100" workbookViewId="0">
      <selection activeCell="K80" sqref="K80"/>
    </sheetView>
  </sheetViews>
  <sheetFormatPr baseColWidth="10" defaultRowHeight="15" x14ac:dyDescent="0.25"/>
  <cols>
    <col min="2" max="8" width="11.5703125" style="1"/>
  </cols>
  <sheetData>
    <row r="47" spans="4:28" x14ac:dyDescent="0.25">
      <c r="D47" s="1" t="s">
        <v>27</v>
      </c>
      <c r="L47" s="1"/>
      <c r="M47" s="1"/>
      <c r="N47" s="1" t="s">
        <v>28</v>
      </c>
      <c r="O47" s="1"/>
      <c r="P47" s="1"/>
      <c r="Q47" s="1"/>
      <c r="R47" s="1"/>
      <c r="V47" s="1"/>
      <c r="W47" s="1"/>
      <c r="X47" s="1" t="s">
        <v>29</v>
      </c>
      <c r="Y47" s="1"/>
      <c r="Z47" s="1"/>
      <c r="AA47" s="1"/>
      <c r="AB47" s="1"/>
    </row>
    <row r="48" spans="4:28" x14ac:dyDescent="0.25">
      <c r="L48" s="1"/>
      <c r="N48" s="1" t="s">
        <v>30</v>
      </c>
      <c r="O48" s="1"/>
      <c r="P48" s="1"/>
      <c r="Q48" s="1"/>
      <c r="R48" s="1"/>
      <c r="V48" s="1"/>
      <c r="W48" s="1"/>
      <c r="X48" s="1" t="s">
        <v>31</v>
      </c>
      <c r="Y48" s="1"/>
      <c r="Z48" s="1"/>
      <c r="AA48" s="1"/>
      <c r="AB48" s="1"/>
    </row>
    <row r="49" spans="2:29" x14ac:dyDescent="0.25">
      <c r="L49" s="1"/>
      <c r="M49" s="1"/>
      <c r="N49" s="1"/>
      <c r="O49" s="1"/>
      <c r="P49" s="1"/>
      <c r="Q49" s="1"/>
      <c r="R49" s="1"/>
      <c r="V49" s="1"/>
      <c r="W49" s="1"/>
      <c r="X49" s="1"/>
      <c r="Y49" s="1"/>
      <c r="Z49" s="1"/>
      <c r="AA49" s="1"/>
      <c r="AB49" s="1"/>
    </row>
    <row r="50" spans="2:29" x14ac:dyDescent="0.25">
      <c r="B50" t="s">
        <v>6</v>
      </c>
      <c r="C50" t="s">
        <v>26</v>
      </c>
      <c r="D50"/>
      <c r="E50"/>
      <c r="F50"/>
      <c r="G50"/>
      <c r="H50"/>
      <c r="L50" t="s">
        <v>6</v>
      </c>
      <c r="M50" t="s">
        <v>26</v>
      </c>
      <c r="V50" t="s">
        <v>6</v>
      </c>
      <c r="W50" t="s">
        <v>26</v>
      </c>
    </row>
    <row r="51" spans="2:29" x14ac:dyDescent="0.25">
      <c r="B51" t="s">
        <v>0</v>
      </c>
      <c r="C51">
        <v>2</v>
      </c>
      <c r="D51"/>
      <c r="E51"/>
      <c r="F51"/>
      <c r="G51"/>
      <c r="H51"/>
      <c r="L51" t="s">
        <v>0</v>
      </c>
      <c r="M51">
        <v>0</v>
      </c>
      <c r="V51" t="s">
        <v>0</v>
      </c>
      <c r="W51">
        <v>-3</v>
      </c>
    </row>
    <row r="52" spans="2:29" x14ac:dyDescent="0.25">
      <c r="B52" t="s">
        <v>1</v>
      </c>
      <c r="C52" t="s">
        <v>25</v>
      </c>
      <c r="D52"/>
      <c r="E52"/>
      <c r="F52"/>
      <c r="G52"/>
      <c r="H52"/>
      <c r="L52" t="s">
        <v>1</v>
      </c>
      <c r="M52">
        <v>2</v>
      </c>
      <c r="V52" t="s">
        <v>1</v>
      </c>
      <c r="W52">
        <v>3</v>
      </c>
    </row>
    <row r="53" spans="2:29" x14ac:dyDescent="0.25">
      <c r="B53" s="3" t="s">
        <v>0</v>
      </c>
      <c r="C53" s="3" t="s">
        <v>1</v>
      </c>
      <c r="D53" s="3" t="s">
        <v>2</v>
      </c>
      <c r="E53" s="3" t="s">
        <v>3</v>
      </c>
      <c r="F53" s="3" t="s">
        <v>4</v>
      </c>
      <c r="G53" s="3" t="s">
        <v>7</v>
      </c>
      <c r="H53" s="3" t="s">
        <v>8</v>
      </c>
      <c r="I53" s="3" t="s">
        <v>5</v>
      </c>
      <c r="L53" s="3" t="s">
        <v>0</v>
      </c>
      <c r="M53" s="3" t="s">
        <v>1</v>
      </c>
      <c r="N53" s="3" t="s">
        <v>2</v>
      </c>
      <c r="O53" s="3" t="s">
        <v>3</v>
      </c>
      <c r="P53" s="3" t="s">
        <v>4</v>
      </c>
      <c r="Q53" s="3" t="s">
        <v>7</v>
      </c>
      <c r="R53" s="3" t="s">
        <v>8</v>
      </c>
      <c r="S53" s="3" t="s">
        <v>5</v>
      </c>
      <c r="V53" s="3" t="s">
        <v>0</v>
      </c>
      <c r="W53" s="3" t="s">
        <v>1</v>
      </c>
      <c r="X53" s="3" t="s">
        <v>2</v>
      </c>
      <c r="Y53" s="3" t="s">
        <v>3</v>
      </c>
      <c r="Z53" s="3" t="s">
        <v>4</v>
      </c>
      <c r="AA53" s="3" t="s">
        <v>7</v>
      </c>
      <c r="AB53" s="3" t="s">
        <v>8</v>
      </c>
      <c r="AC53" s="3" t="s">
        <v>5</v>
      </c>
    </row>
    <row r="54" spans="2:29" x14ac:dyDescent="0.25">
      <c r="B54" s="2">
        <v>2</v>
      </c>
      <c r="C54" s="2">
        <v>2.5</v>
      </c>
      <c r="D54" s="2">
        <f>POWER(B54,2)-5</f>
        <v>-1</v>
      </c>
      <c r="E54" s="2">
        <f>POWER(C54,2)-5</f>
        <v>1.25</v>
      </c>
      <c r="F54" s="2">
        <f t="shared" ref="F54:F59" si="0">(B54+C54)/2</f>
        <v>2.25</v>
      </c>
      <c r="G54" s="2">
        <f>POWER(F54,2)-5</f>
        <v>6.25E-2</v>
      </c>
      <c r="H54" s="2">
        <f>D54*G54</f>
        <v>-6.25E-2</v>
      </c>
      <c r="I54" s="2"/>
      <c r="L54" s="2">
        <v>0</v>
      </c>
      <c r="M54" s="2">
        <v>2</v>
      </c>
      <c r="N54" s="2">
        <f>POWER(L54,2)-5</f>
        <v>-5</v>
      </c>
      <c r="O54" s="2">
        <f>POWER(M54,2)-5</f>
        <v>-1</v>
      </c>
      <c r="P54" s="2">
        <f t="shared" ref="P54:P67" si="1">(L54+M54)/2</f>
        <v>1</v>
      </c>
      <c r="Q54" s="2">
        <f>POWER(P54,2)-5</f>
        <v>-4</v>
      </c>
      <c r="R54" s="2">
        <f>N54*Q54</f>
        <v>20</v>
      </c>
      <c r="S54" s="2"/>
      <c r="V54" s="2">
        <v>-3</v>
      </c>
      <c r="W54" s="2">
        <v>3</v>
      </c>
      <c r="X54" s="2">
        <f>POWER(V54,2)-5</f>
        <v>4</v>
      </c>
      <c r="Y54" s="2">
        <f>POWER(W54,2)-5</f>
        <v>4</v>
      </c>
      <c r="Z54" s="2">
        <f t="shared" ref="Z54:Z67" si="2">(V54+W54)/2</f>
        <v>0</v>
      </c>
      <c r="AA54" s="2">
        <f>POWER(Z54,2)-5</f>
        <v>-5</v>
      </c>
      <c r="AB54" s="2">
        <f>X54*AA54</f>
        <v>-20</v>
      </c>
      <c r="AC54" s="2"/>
    </row>
    <row r="55" spans="2:29" x14ac:dyDescent="0.25">
      <c r="B55" s="2">
        <f>IF(H54&lt;0,B54,F54)</f>
        <v>2</v>
      </c>
      <c r="C55" s="2">
        <f>IF(H54&lt;0,F54,C54)</f>
        <v>2.25</v>
      </c>
      <c r="D55" s="2">
        <f t="shared" ref="D55:D67" si="3">POWER(B55,2)-5</f>
        <v>-1</v>
      </c>
      <c r="E55" s="2">
        <f t="shared" ref="E55:E67" si="4">POWER(C55,2)-5</f>
        <v>6.25E-2</v>
      </c>
      <c r="F55" s="2">
        <f t="shared" si="0"/>
        <v>2.125</v>
      </c>
      <c r="G55" s="2">
        <f t="shared" ref="G55:G67" si="5">POWER(F55,2)-5</f>
        <v>-0.484375</v>
      </c>
      <c r="H55" s="2">
        <f t="shared" ref="H55:H67" si="6">D55*G55</f>
        <v>0.484375</v>
      </c>
      <c r="I55" s="2">
        <f>ABS(F55-F54)</f>
        <v>0.125</v>
      </c>
      <c r="L55" s="2">
        <f>IF(R54&lt;0,L54,P54)</f>
        <v>1</v>
      </c>
      <c r="M55" s="2">
        <f>IF(R54&lt;0,P54,M54)</f>
        <v>2</v>
      </c>
      <c r="N55" s="2">
        <f t="shared" ref="N55:N67" si="7">POWER(L55,2)-5</f>
        <v>-4</v>
      </c>
      <c r="O55" s="2">
        <f t="shared" ref="O55:O67" si="8">POWER(M55,2)-5</f>
        <v>-1</v>
      </c>
      <c r="P55" s="2">
        <f t="shared" si="1"/>
        <v>1.5</v>
      </c>
      <c r="Q55" s="2">
        <f t="shared" ref="Q55:Q67" si="9">POWER(P55,2)-5</f>
        <v>-2.75</v>
      </c>
      <c r="R55" s="2">
        <f t="shared" ref="R55:R67" si="10">N55*Q55</f>
        <v>11</v>
      </c>
      <c r="S55" s="2">
        <f>ABS(P55-P54)</f>
        <v>0.5</v>
      </c>
      <c r="V55" s="2">
        <f>IF(AB54&lt;0,V54,Z54)</f>
        <v>-3</v>
      </c>
      <c r="W55" s="2">
        <f>IF(AB54&lt;0,Z54,W54)</f>
        <v>0</v>
      </c>
      <c r="X55" s="2">
        <f t="shared" ref="X55:X67" si="11">POWER(V55,2)-5</f>
        <v>4</v>
      </c>
      <c r="Y55" s="2">
        <f t="shared" ref="Y55:Y67" si="12">POWER(W55,2)-5</f>
        <v>-5</v>
      </c>
      <c r="Z55" s="2">
        <f t="shared" si="2"/>
        <v>-1.5</v>
      </c>
      <c r="AA55" s="2">
        <f t="shared" ref="AA55:AA67" si="13">POWER(Z55,2)-5</f>
        <v>-2.75</v>
      </c>
      <c r="AB55" s="2">
        <f t="shared" ref="AB55:AB67" si="14">X55*AA55</f>
        <v>-11</v>
      </c>
      <c r="AC55" s="2">
        <f>ABS(Z55-Z54)</f>
        <v>1.5</v>
      </c>
    </row>
    <row r="56" spans="2:29" x14ac:dyDescent="0.25">
      <c r="B56" s="2">
        <f>IF(H55&lt;0,B55,F55)</f>
        <v>2.125</v>
      </c>
      <c r="C56" s="2">
        <f>IF(H55&lt;0,F55,C55)</f>
        <v>2.25</v>
      </c>
      <c r="D56" s="2">
        <f t="shared" si="3"/>
        <v>-0.484375</v>
      </c>
      <c r="E56" s="2">
        <f t="shared" si="4"/>
        <v>6.25E-2</v>
      </c>
      <c r="F56" s="2">
        <f t="shared" si="0"/>
        <v>2.1875</v>
      </c>
      <c r="G56" s="2">
        <f t="shared" si="5"/>
        <v>-0.21484375</v>
      </c>
      <c r="H56" s="2">
        <f t="shared" si="6"/>
        <v>0.10406494140625</v>
      </c>
      <c r="I56" s="2">
        <f t="shared" ref="I56:I66" si="15">ABS(F56-F55)</f>
        <v>6.25E-2</v>
      </c>
      <c r="L56" s="2">
        <f>IF(R55&lt;0,L55,P55)</f>
        <v>1.5</v>
      </c>
      <c r="M56" s="2">
        <f>IF(R55&lt;0,P55,M55)</f>
        <v>2</v>
      </c>
      <c r="N56" s="2">
        <f t="shared" si="7"/>
        <v>-2.75</v>
      </c>
      <c r="O56" s="2">
        <f t="shared" si="8"/>
        <v>-1</v>
      </c>
      <c r="P56" s="2">
        <f t="shared" si="1"/>
        <v>1.75</v>
      </c>
      <c r="Q56" s="2">
        <f t="shared" si="9"/>
        <v>-1.9375</v>
      </c>
      <c r="R56" s="2">
        <f t="shared" si="10"/>
        <v>5.328125</v>
      </c>
      <c r="S56" s="2">
        <f t="shared" ref="S56:S66" si="16">ABS(P56-P55)</f>
        <v>0.25</v>
      </c>
      <c r="V56" s="2">
        <f>IF(AB55&lt;0,V55,Z55)</f>
        <v>-3</v>
      </c>
      <c r="W56" s="2">
        <f>IF(AB55&lt;0,Z55,W55)</f>
        <v>-1.5</v>
      </c>
      <c r="X56" s="2">
        <f t="shared" si="11"/>
        <v>4</v>
      </c>
      <c r="Y56" s="2">
        <f t="shared" si="12"/>
        <v>-2.75</v>
      </c>
      <c r="Z56" s="2">
        <f t="shared" si="2"/>
        <v>-2.25</v>
      </c>
      <c r="AA56" s="2">
        <f t="shared" si="13"/>
        <v>6.25E-2</v>
      </c>
      <c r="AB56" s="2">
        <f t="shared" si="14"/>
        <v>0.25</v>
      </c>
      <c r="AC56" s="2">
        <f t="shared" ref="AC56:AC66" si="17">ABS(Z56-Z55)</f>
        <v>0.75</v>
      </c>
    </row>
    <row r="57" spans="2:29" x14ac:dyDescent="0.25">
      <c r="B57" s="2">
        <f>IF(H56&lt;0,B56,F56)</f>
        <v>2.1875</v>
      </c>
      <c r="C57" s="2">
        <f>IF(H56&lt;0,F56,C56)</f>
        <v>2.25</v>
      </c>
      <c r="D57" s="2">
        <f t="shared" si="3"/>
        <v>-0.21484375</v>
      </c>
      <c r="E57" s="2">
        <f t="shared" si="4"/>
        <v>6.25E-2</v>
      </c>
      <c r="F57" s="2">
        <f t="shared" si="0"/>
        <v>2.21875</v>
      </c>
      <c r="G57" s="2">
        <f t="shared" si="5"/>
        <v>-7.71484375E-2</v>
      </c>
      <c r="H57" s="2">
        <f t="shared" si="6"/>
        <v>1.6574859619140625E-2</v>
      </c>
      <c r="I57" s="2">
        <f t="shared" si="15"/>
        <v>3.125E-2</v>
      </c>
      <c r="L57" s="2">
        <f>IF(R56&lt;0,L56,P56)</f>
        <v>1.75</v>
      </c>
      <c r="M57" s="2">
        <f>IF(R56&lt;0,P56,M56)</f>
        <v>2</v>
      </c>
      <c r="N57" s="2">
        <f t="shared" si="7"/>
        <v>-1.9375</v>
      </c>
      <c r="O57" s="2">
        <f t="shared" si="8"/>
        <v>-1</v>
      </c>
      <c r="P57" s="2">
        <f t="shared" si="1"/>
        <v>1.875</v>
      </c>
      <c r="Q57" s="2">
        <f t="shared" si="9"/>
        <v>-1.484375</v>
      </c>
      <c r="R57" s="2">
        <f t="shared" si="10"/>
        <v>2.8759765625</v>
      </c>
      <c r="S57" s="2">
        <f t="shared" si="16"/>
        <v>0.125</v>
      </c>
      <c r="V57" s="2">
        <f>IF(AB56&lt;0,V56,Z56)</f>
        <v>-2.25</v>
      </c>
      <c r="W57" s="2">
        <f>IF(AB56&lt;0,Z56,W56)</f>
        <v>-1.5</v>
      </c>
      <c r="X57" s="2">
        <f t="shared" si="11"/>
        <v>6.25E-2</v>
      </c>
      <c r="Y57" s="2">
        <f t="shared" si="12"/>
        <v>-2.75</v>
      </c>
      <c r="Z57" s="2">
        <f t="shared" si="2"/>
        <v>-1.875</v>
      </c>
      <c r="AA57" s="2">
        <f t="shared" si="13"/>
        <v>-1.484375</v>
      </c>
      <c r="AB57" s="2">
        <f t="shared" si="14"/>
        <v>-9.27734375E-2</v>
      </c>
      <c r="AC57" s="2">
        <f t="shared" si="17"/>
        <v>0.375</v>
      </c>
    </row>
    <row r="58" spans="2:29" x14ac:dyDescent="0.25">
      <c r="B58" s="2">
        <f>IF(H57&lt;0,B57,F57)</f>
        <v>2.21875</v>
      </c>
      <c r="C58" s="2">
        <f>IF(H57&lt;0,F57,C57)</f>
        <v>2.25</v>
      </c>
      <c r="D58" s="2">
        <f t="shared" si="3"/>
        <v>-7.71484375E-2</v>
      </c>
      <c r="E58" s="2">
        <f t="shared" si="4"/>
        <v>6.25E-2</v>
      </c>
      <c r="F58" s="2">
        <f t="shared" si="0"/>
        <v>2.234375</v>
      </c>
      <c r="G58" s="2">
        <f t="shared" si="5"/>
        <v>-7.568359375E-3</v>
      </c>
      <c r="H58" s="2">
        <f t="shared" si="6"/>
        <v>5.8388710021972656E-4</v>
      </c>
      <c r="I58" s="2">
        <f t="shared" si="15"/>
        <v>1.5625E-2</v>
      </c>
      <c r="L58" s="2">
        <f>IF(R57&lt;0,L57,P57)</f>
        <v>1.875</v>
      </c>
      <c r="M58" s="2">
        <f>IF(R57&lt;0,P57,M57)</f>
        <v>2</v>
      </c>
      <c r="N58" s="2">
        <f t="shared" si="7"/>
        <v>-1.484375</v>
      </c>
      <c r="O58" s="2">
        <f t="shared" si="8"/>
        <v>-1</v>
      </c>
      <c r="P58" s="2">
        <f t="shared" si="1"/>
        <v>1.9375</v>
      </c>
      <c r="Q58" s="2">
        <f t="shared" si="9"/>
        <v>-1.24609375</v>
      </c>
      <c r="R58" s="2">
        <f t="shared" si="10"/>
        <v>1.84967041015625</v>
      </c>
      <c r="S58" s="2">
        <f t="shared" si="16"/>
        <v>6.25E-2</v>
      </c>
      <c r="V58" s="2">
        <f>IF(AB57&lt;0,V57,Z57)</f>
        <v>-2.25</v>
      </c>
      <c r="W58" s="2">
        <f>IF(AB57&lt;0,Z57,W57)</f>
        <v>-1.875</v>
      </c>
      <c r="X58" s="2">
        <f t="shared" si="11"/>
        <v>6.25E-2</v>
      </c>
      <c r="Y58" s="2">
        <f t="shared" si="12"/>
        <v>-1.484375</v>
      </c>
      <c r="Z58" s="2">
        <f t="shared" si="2"/>
        <v>-2.0625</v>
      </c>
      <c r="AA58" s="2">
        <f t="shared" si="13"/>
        <v>-0.74609375</v>
      </c>
      <c r="AB58" s="2">
        <f t="shared" si="14"/>
        <v>-4.6630859375E-2</v>
      </c>
      <c r="AC58" s="2">
        <f t="shared" si="17"/>
        <v>0.1875</v>
      </c>
    </row>
    <row r="59" spans="2:29" x14ac:dyDescent="0.25">
      <c r="B59" s="2">
        <f>IF(H58&lt;0,B58,F58)</f>
        <v>2.234375</v>
      </c>
      <c r="C59" s="2">
        <f>IF(H58&lt;0,F58,C58)</f>
        <v>2.25</v>
      </c>
      <c r="D59" s="2">
        <f t="shared" si="3"/>
        <v>-7.568359375E-3</v>
      </c>
      <c r="E59" s="2">
        <f t="shared" si="4"/>
        <v>6.25E-2</v>
      </c>
      <c r="F59" s="2">
        <f t="shared" si="0"/>
        <v>2.2421875</v>
      </c>
      <c r="G59" s="2">
        <f t="shared" si="5"/>
        <v>2.740478515625E-2</v>
      </c>
      <c r="H59" s="2">
        <f t="shared" si="6"/>
        <v>-2.0740926265716553E-4</v>
      </c>
      <c r="I59" s="2">
        <f t="shared" si="15"/>
        <v>7.8125E-3</v>
      </c>
      <c r="L59" s="2">
        <f>IF(R58&lt;0,L58,P58)</f>
        <v>1.9375</v>
      </c>
      <c r="M59" s="2">
        <f>IF(R58&lt;0,P58,M58)</f>
        <v>2</v>
      </c>
      <c r="N59" s="2">
        <f t="shared" si="7"/>
        <v>-1.24609375</v>
      </c>
      <c r="O59" s="2">
        <f t="shared" si="8"/>
        <v>-1</v>
      </c>
      <c r="P59" s="2">
        <f t="shared" si="1"/>
        <v>1.96875</v>
      </c>
      <c r="Q59" s="2">
        <f t="shared" si="9"/>
        <v>-1.1240234375</v>
      </c>
      <c r="R59" s="2">
        <f t="shared" si="10"/>
        <v>1.4006385803222656</v>
      </c>
      <c r="S59" s="2">
        <f t="shared" si="16"/>
        <v>3.125E-2</v>
      </c>
      <c r="V59" s="2">
        <f>IF(AB58&lt;0,V58,Z58)</f>
        <v>-2.25</v>
      </c>
      <c r="W59" s="2">
        <f>IF(AB58&lt;0,Z58,W58)</f>
        <v>-2.0625</v>
      </c>
      <c r="X59" s="2">
        <f t="shared" si="11"/>
        <v>6.25E-2</v>
      </c>
      <c r="Y59" s="2">
        <f t="shared" si="12"/>
        <v>-0.74609375</v>
      </c>
      <c r="Z59" s="2">
        <f t="shared" si="2"/>
        <v>-2.15625</v>
      </c>
      <c r="AA59" s="2">
        <f t="shared" si="13"/>
        <v>-0.3505859375</v>
      </c>
      <c r="AB59" s="2">
        <f t="shared" si="14"/>
        <v>-2.191162109375E-2</v>
      </c>
      <c r="AC59" s="2">
        <f t="shared" si="17"/>
        <v>9.375E-2</v>
      </c>
    </row>
    <row r="60" spans="2:29" x14ac:dyDescent="0.25">
      <c r="B60" s="2">
        <f t="shared" ref="B60:B67" si="18">IF(H59&lt;0,B59,F59)</f>
        <v>2.234375</v>
      </c>
      <c r="C60" s="2">
        <f t="shared" ref="C60:C67" si="19">IF(H59&lt;0,F59,C59)</f>
        <v>2.2421875</v>
      </c>
      <c r="D60" s="2">
        <f t="shared" si="3"/>
        <v>-7.568359375E-3</v>
      </c>
      <c r="E60" s="2">
        <f t="shared" si="4"/>
        <v>2.740478515625E-2</v>
      </c>
      <c r="F60" s="2">
        <f t="shared" ref="F60:F67" si="20">(B60+C60)/2</f>
        <v>2.23828125</v>
      </c>
      <c r="G60" s="2">
        <f t="shared" si="5"/>
        <v>9.9029541015625E-3</v>
      </c>
      <c r="H60" s="2">
        <f t="shared" si="6"/>
        <v>-7.4949115514755249E-5</v>
      </c>
      <c r="I60" s="2">
        <f t="shared" si="15"/>
        <v>3.90625E-3</v>
      </c>
      <c r="L60" s="2">
        <f t="shared" ref="L60:L67" si="21">IF(R59&lt;0,L59,P59)</f>
        <v>1.96875</v>
      </c>
      <c r="M60" s="2">
        <f t="shared" ref="M60:M67" si="22">IF(R59&lt;0,P59,M59)</f>
        <v>2</v>
      </c>
      <c r="N60" s="2">
        <f t="shared" si="7"/>
        <v>-1.1240234375</v>
      </c>
      <c r="O60" s="2">
        <f t="shared" si="8"/>
        <v>-1</v>
      </c>
      <c r="P60" s="2">
        <f t="shared" si="1"/>
        <v>1.984375</v>
      </c>
      <c r="Q60" s="2">
        <f t="shared" si="9"/>
        <v>-1.062255859375</v>
      </c>
      <c r="R60" s="2">
        <f t="shared" si="10"/>
        <v>1.1940004825592041</v>
      </c>
      <c r="S60" s="2">
        <f t="shared" si="16"/>
        <v>1.5625E-2</v>
      </c>
      <c r="V60" s="2">
        <f t="shared" ref="V60:V67" si="23">IF(AB59&lt;0,V59,Z59)</f>
        <v>-2.25</v>
      </c>
      <c r="W60" s="2">
        <f t="shared" ref="W60:W67" si="24">IF(AB59&lt;0,Z59,W59)</f>
        <v>-2.15625</v>
      </c>
      <c r="X60" s="2">
        <f t="shared" si="11"/>
        <v>6.25E-2</v>
      </c>
      <c r="Y60" s="2">
        <f t="shared" si="12"/>
        <v>-0.3505859375</v>
      </c>
      <c r="Z60" s="2">
        <f t="shared" si="2"/>
        <v>-2.203125</v>
      </c>
      <c r="AA60" s="2">
        <f t="shared" si="13"/>
        <v>-0.146240234375</v>
      </c>
      <c r="AB60" s="2">
        <f t="shared" si="14"/>
        <v>-9.1400146484375E-3</v>
      </c>
      <c r="AC60" s="2">
        <f t="shared" si="17"/>
        <v>4.6875E-2</v>
      </c>
    </row>
    <row r="61" spans="2:29" x14ac:dyDescent="0.25">
      <c r="B61" s="2">
        <f t="shared" si="18"/>
        <v>2.234375</v>
      </c>
      <c r="C61" s="2">
        <f t="shared" si="19"/>
        <v>2.23828125</v>
      </c>
      <c r="D61" s="2">
        <f t="shared" si="3"/>
        <v>-7.568359375E-3</v>
      </c>
      <c r="E61" s="2">
        <f t="shared" si="4"/>
        <v>9.9029541015625E-3</v>
      </c>
      <c r="F61" s="2">
        <f t="shared" si="20"/>
        <v>2.236328125</v>
      </c>
      <c r="G61" s="2">
        <f t="shared" si="5"/>
        <v>1.163482666015625E-3</v>
      </c>
      <c r="H61" s="2">
        <f t="shared" si="6"/>
        <v>-8.8056549429893494E-6</v>
      </c>
      <c r="I61" s="2">
        <f t="shared" si="15"/>
        <v>1.953125E-3</v>
      </c>
      <c r="L61" s="2">
        <f t="shared" si="21"/>
        <v>1.984375</v>
      </c>
      <c r="M61" s="2">
        <f t="shared" si="22"/>
        <v>2</v>
      </c>
      <c r="N61" s="2">
        <f t="shared" si="7"/>
        <v>-1.062255859375</v>
      </c>
      <c r="O61" s="2">
        <f t="shared" si="8"/>
        <v>-1</v>
      </c>
      <c r="P61" s="2">
        <f t="shared" si="1"/>
        <v>1.9921875</v>
      </c>
      <c r="Q61" s="2">
        <f t="shared" si="9"/>
        <v>-1.03118896484375</v>
      </c>
      <c r="R61" s="2">
        <f t="shared" si="10"/>
        <v>1.0953865200281143</v>
      </c>
      <c r="S61" s="2">
        <f t="shared" si="16"/>
        <v>7.8125E-3</v>
      </c>
      <c r="V61" s="2">
        <f t="shared" si="23"/>
        <v>-2.25</v>
      </c>
      <c r="W61" s="2">
        <f t="shared" si="24"/>
        <v>-2.203125</v>
      </c>
      <c r="X61" s="2">
        <f t="shared" si="11"/>
        <v>6.25E-2</v>
      </c>
      <c r="Y61" s="2">
        <f t="shared" si="12"/>
        <v>-0.146240234375</v>
      </c>
      <c r="Z61" s="2">
        <f t="shared" si="2"/>
        <v>-2.2265625</v>
      </c>
      <c r="AA61" s="2">
        <f t="shared" si="13"/>
        <v>-4.241943359375E-2</v>
      </c>
      <c r="AB61" s="2">
        <f t="shared" si="14"/>
        <v>-2.651214599609375E-3</v>
      </c>
      <c r="AC61" s="2">
        <f t="shared" si="17"/>
        <v>2.34375E-2</v>
      </c>
    </row>
    <row r="62" spans="2:29" x14ac:dyDescent="0.25">
      <c r="B62" s="2">
        <f t="shared" si="18"/>
        <v>2.234375</v>
      </c>
      <c r="C62" s="2">
        <f t="shared" si="19"/>
        <v>2.236328125</v>
      </c>
      <c r="D62" s="2">
        <f t="shared" si="3"/>
        <v>-7.568359375E-3</v>
      </c>
      <c r="E62" s="2">
        <f t="shared" si="4"/>
        <v>1.163482666015625E-3</v>
      </c>
      <c r="F62" s="3">
        <f t="shared" si="20"/>
        <v>2.2353515625</v>
      </c>
      <c r="G62" s="2">
        <f t="shared" si="5"/>
        <v>-3.2033920288085938E-3</v>
      </c>
      <c r="H62" s="2">
        <f t="shared" si="6"/>
        <v>2.4244422093033791E-5</v>
      </c>
      <c r="I62" s="2">
        <f t="shared" si="15"/>
        <v>9.765625E-4</v>
      </c>
      <c r="L62" s="2">
        <f t="shared" si="21"/>
        <v>1.9921875</v>
      </c>
      <c r="M62" s="2">
        <f t="shared" si="22"/>
        <v>2</v>
      </c>
      <c r="N62" s="2">
        <f t="shared" si="7"/>
        <v>-1.03118896484375</v>
      </c>
      <c r="O62" s="2">
        <f t="shared" si="8"/>
        <v>-1</v>
      </c>
      <c r="P62" s="2">
        <f t="shared" si="1"/>
        <v>1.99609375</v>
      </c>
      <c r="Q62" s="2">
        <f t="shared" si="9"/>
        <v>-1.0156097412109375</v>
      </c>
      <c r="R62" s="2">
        <f t="shared" si="10"/>
        <v>1.0472855577245355</v>
      </c>
      <c r="S62" s="2">
        <f t="shared" si="16"/>
        <v>3.90625E-3</v>
      </c>
      <c r="V62" s="2">
        <f t="shared" si="23"/>
        <v>-2.25</v>
      </c>
      <c r="W62" s="2">
        <f t="shared" si="24"/>
        <v>-2.2265625</v>
      </c>
      <c r="X62" s="2">
        <f t="shared" si="11"/>
        <v>6.25E-2</v>
      </c>
      <c r="Y62" s="2">
        <f t="shared" si="12"/>
        <v>-4.241943359375E-2</v>
      </c>
      <c r="Z62" s="3">
        <f t="shared" si="2"/>
        <v>-2.23828125</v>
      </c>
      <c r="AA62" s="2">
        <f t="shared" si="13"/>
        <v>9.9029541015625E-3</v>
      </c>
      <c r="AB62" s="2">
        <f t="shared" si="14"/>
        <v>6.1893463134765625E-4</v>
      </c>
      <c r="AC62" s="2">
        <f t="shared" si="17"/>
        <v>1.171875E-2</v>
      </c>
    </row>
    <row r="63" spans="2:29" x14ac:dyDescent="0.25">
      <c r="B63" s="2">
        <f t="shared" si="18"/>
        <v>2.2353515625</v>
      </c>
      <c r="C63" s="2">
        <f t="shared" si="19"/>
        <v>2.236328125</v>
      </c>
      <c r="D63" s="2">
        <f t="shared" si="3"/>
        <v>-3.2033920288085938E-3</v>
      </c>
      <c r="E63" s="2">
        <f t="shared" si="4"/>
        <v>1.163482666015625E-3</v>
      </c>
      <c r="F63" s="2">
        <f t="shared" si="20"/>
        <v>2.23583984375</v>
      </c>
      <c r="G63" s="2">
        <f t="shared" si="5"/>
        <v>-1.0201930999755859E-3</v>
      </c>
      <c r="H63" s="2">
        <f t="shared" si="6"/>
        <v>3.2680784443073208E-6</v>
      </c>
      <c r="I63" s="2">
        <f t="shared" si="15"/>
        <v>4.8828125E-4</v>
      </c>
      <c r="L63" s="2">
        <f t="shared" si="21"/>
        <v>1.99609375</v>
      </c>
      <c r="M63" s="2">
        <f t="shared" si="22"/>
        <v>2</v>
      </c>
      <c r="N63" s="2">
        <f t="shared" si="7"/>
        <v>-1.0156097412109375</v>
      </c>
      <c r="O63" s="2">
        <f t="shared" si="8"/>
        <v>-1</v>
      </c>
      <c r="P63" s="2">
        <f t="shared" si="1"/>
        <v>1.998046875</v>
      </c>
      <c r="Q63" s="2">
        <f t="shared" si="9"/>
        <v>-1.0078086853027344</v>
      </c>
      <c r="R63" s="2">
        <f t="shared" si="10"/>
        <v>1.0235403180704452</v>
      </c>
      <c r="S63" s="2">
        <f t="shared" si="16"/>
        <v>1.953125E-3</v>
      </c>
      <c r="V63" s="2">
        <f t="shared" si="23"/>
        <v>-2.23828125</v>
      </c>
      <c r="W63" s="2">
        <f t="shared" si="24"/>
        <v>-2.2265625</v>
      </c>
      <c r="X63" s="2">
        <f t="shared" si="11"/>
        <v>9.9029541015625E-3</v>
      </c>
      <c r="Y63" s="2">
        <f t="shared" si="12"/>
        <v>-4.241943359375E-2</v>
      </c>
      <c r="Z63" s="2">
        <f t="shared" si="2"/>
        <v>-2.232421875</v>
      </c>
      <c r="AA63" s="2">
        <f t="shared" si="13"/>
        <v>-1.6292572021484375E-2</v>
      </c>
      <c r="AB63" s="2">
        <f t="shared" si="14"/>
        <v>-1.6134459292516112E-4</v>
      </c>
      <c r="AC63" s="2">
        <f t="shared" si="17"/>
        <v>5.859375E-3</v>
      </c>
    </row>
    <row r="64" spans="2:29" x14ac:dyDescent="0.25">
      <c r="B64" s="2">
        <f t="shared" si="18"/>
        <v>2.23583984375</v>
      </c>
      <c r="C64" s="2">
        <f t="shared" si="19"/>
        <v>2.236328125</v>
      </c>
      <c r="D64" s="2">
        <f t="shared" si="3"/>
        <v>-1.0201930999755859E-3</v>
      </c>
      <c r="E64" s="2">
        <f t="shared" si="4"/>
        <v>1.163482666015625E-3</v>
      </c>
      <c r="F64" s="2">
        <f t="shared" si="20"/>
        <v>2.236083984375</v>
      </c>
      <c r="G64" s="2">
        <f t="shared" si="5"/>
        <v>7.1585178375244141E-5</v>
      </c>
      <c r="H64" s="2">
        <f t="shared" si="6"/>
        <v>-7.3030705038945598E-8</v>
      </c>
      <c r="I64" s="2">
        <f t="shared" si="15"/>
        <v>2.44140625E-4</v>
      </c>
      <c r="L64" s="2">
        <f t="shared" si="21"/>
        <v>1.998046875</v>
      </c>
      <c r="M64" s="2">
        <f t="shared" si="22"/>
        <v>2</v>
      </c>
      <c r="N64" s="2">
        <f t="shared" si="7"/>
        <v>-1.0078086853027344</v>
      </c>
      <c r="O64" s="2">
        <f t="shared" si="8"/>
        <v>-1</v>
      </c>
      <c r="P64" s="2">
        <f t="shared" si="1"/>
        <v>1.9990234375</v>
      </c>
      <c r="Q64" s="2">
        <f t="shared" si="9"/>
        <v>-1.0039052963256836</v>
      </c>
      <c r="R64" s="2">
        <f t="shared" si="10"/>
        <v>1.0117444768584392</v>
      </c>
      <c r="S64" s="2">
        <f t="shared" si="16"/>
        <v>9.765625E-4</v>
      </c>
      <c r="V64" s="2">
        <f t="shared" si="23"/>
        <v>-2.23828125</v>
      </c>
      <c r="W64" s="2">
        <f t="shared" si="24"/>
        <v>-2.232421875</v>
      </c>
      <c r="X64" s="2">
        <f t="shared" si="11"/>
        <v>9.9029541015625E-3</v>
      </c>
      <c r="Y64" s="2">
        <f t="shared" si="12"/>
        <v>-1.6292572021484375E-2</v>
      </c>
      <c r="Z64" s="2">
        <f t="shared" si="2"/>
        <v>-2.2353515625</v>
      </c>
      <c r="AA64" s="2">
        <f t="shared" si="13"/>
        <v>-3.2033920288085938E-3</v>
      </c>
      <c r="AB64" s="2">
        <f t="shared" si="14"/>
        <v>-3.1723044230602682E-5</v>
      </c>
      <c r="AC64" s="2">
        <f t="shared" si="17"/>
        <v>2.9296875E-3</v>
      </c>
    </row>
    <row r="65" spans="2:29" x14ac:dyDescent="0.25">
      <c r="B65" s="2">
        <f t="shared" si="18"/>
        <v>2.23583984375</v>
      </c>
      <c r="C65" s="2">
        <f t="shared" si="19"/>
        <v>2.236083984375</v>
      </c>
      <c r="D65" s="2">
        <f t="shared" si="3"/>
        <v>-1.0201930999755859E-3</v>
      </c>
      <c r="E65" s="2">
        <f t="shared" si="4"/>
        <v>7.1585178375244141E-5</v>
      </c>
      <c r="F65" s="2">
        <f t="shared" si="20"/>
        <v>2.2359619140625</v>
      </c>
      <c r="G65" s="2">
        <f t="shared" si="5"/>
        <v>-4.7431886196136475E-4</v>
      </c>
      <c r="H65" s="2">
        <f t="shared" si="6"/>
        <v>4.8389683016125673E-7</v>
      </c>
      <c r="I65" s="2">
        <f t="shared" si="15"/>
        <v>1.220703125E-4</v>
      </c>
      <c r="L65" s="2">
        <f t="shared" si="21"/>
        <v>1.9990234375</v>
      </c>
      <c r="M65" s="2">
        <f t="shared" si="22"/>
        <v>2</v>
      </c>
      <c r="N65" s="2">
        <f t="shared" si="7"/>
        <v>-1.0039052963256836</v>
      </c>
      <c r="O65" s="2">
        <f t="shared" si="8"/>
        <v>-1</v>
      </c>
      <c r="P65" s="2">
        <f t="shared" si="1"/>
        <v>1.99951171875</v>
      </c>
      <c r="Q65" s="2">
        <f t="shared" si="9"/>
        <v>-1.0019528865814209</v>
      </c>
      <c r="R65" s="2">
        <f t="shared" si="10"/>
        <v>1.0058658095078954</v>
      </c>
      <c r="S65" s="2">
        <f t="shared" si="16"/>
        <v>4.8828125E-4</v>
      </c>
      <c r="V65" s="2">
        <f t="shared" si="23"/>
        <v>-2.23828125</v>
      </c>
      <c r="W65" s="2">
        <f t="shared" si="24"/>
        <v>-2.2353515625</v>
      </c>
      <c r="X65" s="2">
        <f t="shared" si="11"/>
        <v>9.9029541015625E-3</v>
      </c>
      <c r="Y65" s="2">
        <f t="shared" si="12"/>
        <v>-3.2033920288085938E-3</v>
      </c>
      <c r="Z65" s="2">
        <f t="shared" si="2"/>
        <v>-2.23681640625</v>
      </c>
      <c r="AA65" s="2">
        <f t="shared" si="13"/>
        <v>3.3476352691650391E-3</v>
      </c>
      <c r="AB65" s="2">
        <f t="shared" si="14"/>
        <v>3.3151478419313207E-5</v>
      </c>
      <c r="AC65" s="2">
        <f t="shared" si="17"/>
        <v>1.46484375E-3</v>
      </c>
    </row>
    <row r="66" spans="2:29" x14ac:dyDescent="0.25">
      <c r="B66" s="2">
        <f t="shared" si="18"/>
        <v>2.2359619140625</v>
      </c>
      <c r="C66" s="2">
        <f t="shared" si="19"/>
        <v>2.236083984375</v>
      </c>
      <c r="D66" s="2">
        <f>POWER(B66,2)-5</f>
        <v>-4.7431886196136475E-4</v>
      </c>
      <c r="E66" s="2">
        <f t="shared" si="4"/>
        <v>7.1585178375244141E-5</v>
      </c>
      <c r="F66" s="2">
        <f t="shared" si="20"/>
        <v>2.23602294921875</v>
      </c>
      <c r="G66" s="2">
        <f t="shared" si="5"/>
        <v>-2.0137056708335876E-4</v>
      </c>
      <c r="H66" s="2">
        <f t="shared" si="6"/>
        <v>9.5513858211493385E-8</v>
      </c>
      <c r="I66" s="2">
        <f t="shared" si="15"/>
        <v>6.103515625E-5</v>
      </c>
      <c r="L66" s="2">
        <f t="shared" si="21"/>
        <v>1.99951171875</v>
      </c>
      <c r="M66" s="2">
        <f t="shared" si="22"/>
        <v>2</v>
      </c>
      <c r="N66" s="2">
        <f>POWER(L66,2)-5</f>
        <v>-1.0019528865814209</v>
      </c>
      <c r="O66" s="2">
        <f t="shared" si="8"/>
        <v>-1</v>
      </c>
      <c r="P66" s="2">
        <f t="shared" si="1"/>
        <v>1.999755859375</v>
      </c>
      <c r="Q66" s="2">
        <f t="shared" si="9"/>
        <v>-1.0009765028953552</v>
      </c>
      <c r="R66" s="2">
        <f t="shared" si="10"/>
        <v>1.0029312964761772</v>
      </c>
      <c r="S66" s="2">
        <f t="shared" si="16"/>
        <v>2.44140625E-4</v>
      </c>
      <c r="V66" s="2">
        <f t="shared" si="23"/>
        <v>-2.23681640625</v>
      </c>
      <c r="W66" s="2">
        <f t="shared" si="24"/>
        <v>-2.2353515625</v>
      </c>
      <c r="X66" s="2">
        <f>POWER(V66,2)-5</f>
        <v>3.3476352691650391E-3</v>
      </c>
      <c r="Y66" s="2">
        <f t="shared" si="12"/>
        <v>-3.2033920288085938E-3</v>
      </c>
      <c r="Z66" s="2">
        <f t="shared" si="2"/>
        <v>-2.236083984375</v>
      </c>
      <c r="AA66" s="2">
        <f t="shared" si="13"/>
        <v>7.1585178375244141E-5</v>
      </c>
      <c r="AB66" s="2">
        <f t="shared" si="14"/>
        <v>2.3964106787843775E-7</v>
      </c>
      <c r="AC66" s="2">
        <f t="shared" si="17"/>
        <v>7.32421875E-4</v>
      </c>
    </row>
    <row r="67" spans="2:29" x14ac:dyDescent="0.25">
      <c r="B67" s="2">
        <f t="shared" si="18"/>
        <v>2.23602294921875</v>
      </c>
      <c r="C67" s="2">
        <f t="shared" si="19"/>
        <v>2.236083984375</v>
      </c>
      <c r="D67" s="2">
        <f t="shared" si="3"/>
        <v>-2.0137056708335876E-4</v>
      </c>
      <c r="E67" s="2">
        <f t="shared" si="4"/>
        <v>7.1585178375244141E-5</v>
      </c>
      <c r="F67" s="2">
        <f t="shared" si="20"/>
        <v>2.236053466796875</v>
      </c>
      <c r="G67" s="2">
        <f t="shared" si="5"/>
        <v>-6.4893625676631927E-5</v>
      </c>
      <c r="H67" s="2">
        <f t="shared" si="6"/>
        <v>1.3067666202598582E-8</v>
      </c>
      <c r="I67" s="2">
        <f>ABS(F67-F66)</f>
        <v>3.0517578125E-5</v>
      </c>
      <c r="L67" s="2">
        <f t="shared" si="21"/>
        <v>1.999755859375</v>
      </c>
      <c r="M67" s="2">
        <f t="shared" si="22"/>
        <v>2</v>
      </c>
      <c r="N67" s="2">
        <f t="shared" ref="N67" si="25">POWER(L67,2)-5</f>
        <v>-1.0009765028953552</v>
      </c>
      <c r="O67" s="2">
        <f t="shared" si="8"/>
        <v>-1</v>
      </c>
      <c r="P67" s="2">
        <f t="shared" si="1"/>
        <v>1.9998779296875</v>
      </c>
      <c r="Q67" s="2">
        <f t="shared" si="9"/>
        <v>-1.0004882663488388</v>
      </c>
      <c r="R67" s="2">
        <f t="shared" si="10"/>
        <v>1.0014652460376974</v>
      </c>
      <c r="S67" s="2">
        <f>ABS(P67-P66)</f>
        <v>1.220703125E-4</v>
      </c>
      <c r="V67" s="2">
        <f t="shared" si="23"/>
        <v>-2.236083984375</v>
      </c>
      <c r="W67" s="2">
        <f t="shared" si="24"/>
        <v>-2.2353515625</v>
      </c>
      <c r="X67" s="2">
        <f t="shared" ref="X67" si="26">POWER(V67,2)-5</f>
        <v>7.1585178375244141E-5</v>
      </c>
      <c r="Y67" s="2">
        <f t="shared" si="12"/>
        <v>-3.2033920288085938E-3</v>
      </c>
      <c r="Z67" s="2">
        <f t="shared" si="2"/>
        <v>-2.2357177734375</v>
      </c>
      <c r="AA67" s="2">
        <f t="shared" si="13"/>
        <v>-1.5660375356674194E-3</v>
      </c>
      <c r="AB67" s="2">
        <f t="shared" si="14"/>
        <v>-1.1210507633307998E-7</v>
      </c>
      <c r="AC67" s="2">
        <f>ABS(Z67-Z66)</f>
        <v>3.662109375E-4</v>
      </c>
    </row>
    <row r="68" spans="2:29" x14ac:dyDescent="0.25">
      <c r="I68" s="2"/>
    </row>
    <row r="70" spans="2:29" x14ac:dyDescent="0.25">
      <c r="O70" t="s">
        <v>38</v>
      </c>
    </row>
    <row r="71" spans="2:29" x14ac:dyDescent="0.25">
      <c r="Y71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8083-AE37-4152-8B52-5F386364370E}">
  <sheetPr codeName="Hoja3"/>
  <dimension ref="A42:W74"/>
  <sheetViews>
    <sheetView topLeftCell="A37" zoomScaleNormal="100" workbookViewId="0">
      <selection activeCell="A42" sqref="A42"/>
    </sheetView>
  </sheetViews>
  <sheetFormatPr baseColWidth="10" defaultRowHeight="15" x14ac:dyDescent="0.25"/>
  <sheetData>
    <row r="42" spans="1:20" x14ac:dyDescent="0.25">
      <c r="A42" t="s">
        <v>36</v>
      </c>
    </row>
    <row r="47" spans="1:20" x14ac:dyDescent="0.25">
      <c r="C47" t="s">
        <v>34</v>
      </c>
      <c r="L47" t="s">
        <v>35</v>
      </c>
      <c r="T47" t="s">
        <v>37</v>
      </c>
    </row>
    <row r="50" spans="1:23" x14ac:dyDescent="0.25">
      <c r="A50" s="6" t="s">
        <v>32</v>
      </c>
      <c r="B50" s="6" t="s">
        <v>0</v>
      </c>
      <c r="C50" s="6" t="s">
        <v>1</v>
      </c>
      <c r="D50" s="6" t="s">
        <v>33</v>
      </c>
      <c r="E50" s="6" t="s">
        <v>2</v>
      </c>
      <c r="F50" s="6" t="s">
        <v>3</v>
      </c>
      <c r="G50" s="6" t="s">
        <v>5</v>
      </c>
      <c r="I50" s="6" t="s">
        <v>32</v>
      </c>
      <c r="J50" s="6" t="s">
        <v>0</v>
      </c>
      <c r="K50" s="6" t="s">
        <v>1</v>
      </c>
      <c r="L50" s="6" t="s">
        <v>33</v>
      </c>
      <c r="M50" s="6" t="s">
        <v>2</v>
      </c>
      <c r="N50" s="6" t="s">
        <v>3</v>
      </c>
      <c r="O50" s="6" t="s">
        <v>5</v>
      </c>
      <c r="Q50" s="6" t="s">
        <v>32</v>
      </c>
      <c r="R50" s="6" t="s">
        <v>0</v>
      </c>
      <c r="S50" s="6" t="s">
        <v>1</v>
      </c>
      <c r="T50" s="6" t="s">
        <v>33</v>
      </c>
      <c r="U50" s="6" t="s">
        <v>2</v>
      </c>
      <c r="V50" s="6" t="s">
        <v>3</v>
      </c>
      <c r="W50" s="6" t="s">
        <v>5</v>
      </c>
    </row>
    <row r="51" spans="1:23" x14ac:dyDescent="0.25">
      <c r="A51" s="1">
        <v>1</v>
      </c>
      <c r="B51" s="1">
        <v>0</v>
      </c>
      <c r="C51" s="1">
        <v>3</v>
      </c>
      <c r="D51" s="1">
        <f>(B51+C51)/2</f>
        <v>1.5</v>
      </c>
      <c r="E51" s="1">
        <f>B51^3-B51-2</f>
        <v>-2</v>
      </c>
      <c r="F51" s="1">
        <f>D51^3-D51-2</f>
        <v>-0.125</v>
      </c>
      <c r="G51" s="1"/>
      <c r="I51" s="1">
        <v>1</v>
      </c>
      <c r="J51" s="1">
        <v>5</v>
      </c>
      <c r="K51" s="1">
        <v>8</v>
      </c>
      <c r="L51" s="1">
        <f>(J51+K51)/2</f>
        <v>6.5</v>
      </c>
      <c r="M51" s="1">
        <f>J51^3-J51-2</f>
        <v>118</v>
      </c>
      <c r="N51" s="1">
        <f>L51^3-L51-2</f>
        <v>266.125</v>
      </c>
      <c r="O51" s="1"/>
      <c r="Q51" s="1">
        <v>1</v>
      </c>
      <c r="R51" s="1">
        <v>1.5</v>
      </c>
      <c r="S51" s="1">
        <v>2</v>
      </c>
      <c r="T51" s="1">
        <f>(R51+S51)/2</f>
        <v>1.75</v>
      </c>
      <c r="U51" s="1">
        <f>R51^3-R51-2</f>
        <v>-0.125</v>
      </c>
      <c r="V51" s="1">
        <f>T51^3-T51-2</f>
        <v>1.609375</v>
      </c>
      <c r="W51" s="1"/>
    </row>
    <row r="52" spans="1:23" x14ac:dyDescent="0.25">
      <c r="A52" s="1">
        <v>2</v>
      </c>
      <c r="B52" s="1">
        <f>IF(E51*(D51^3-D51-2)&gt;0,D51,B51)</f>
        <v>1.5</v>
      </c>
      <c r="C52" s="1">
        <f>IF(E51*(D51^3-D51-2)&lt;0,D51,C51)</f>
        <v>3</v>
      </c>
      <c r="D52" s="1">
        <f t="shared" ref="D52:D56" si="0">(B52+C52)/2</f>
        <v>2.25</v>
      </c>
      <c r="E52" s="1">
        <f t="shared" ref="E52:E56" si="1">B52^3-B52-2</f>
        <v>-0.125</v>
      </c>
      <c r="F52" s="1">
        <f t="shared" ref="F52:F56" si="2">D52^3-D52-2</f>
        <v>7.140625</v>
      </c>
      <c r="G52" s="1">
        <f>ABS(D52-D51)/D52*100</f>
        <v>33.333333333333329</v>
      </c>
      <c r="I52" s="1">
        <v>2</v>
      </c>
      <c r="J52" s="1">
        <f>IF(M51*(L51^3-L51-2)&gt;0,L51,J51)</f>
        <v>6.5</v>
      </c>
      <c r="K52" s="1">
        <f>IF(M51*(L51^3-L51-2)&lt;0,L51,K51)</f>
        <v>8</v>
      </c>
      <c r="L52" s="1">
        <f t="shared" ref="L52:L59" si="3">(J52+K52)/2</f>
        <v>7.25</v>
      </c>
      <c r="M52" s="1">
        <f t="shared" ref="M52:M59" si="4">J52^3-J52-2</f>
        <v>266.125</v>
      </c>
      <c r="N52" s="1">
        <f t="shared" ref="N52:N59" si="5">L52^3-L52-2</f>
        <v>371.828125</v>
      </c>
      <c r="O52" s="1">
        <f>ABS(L52-L51)/L52*100</f>
        <v>10.344827586206897</v>
      </c>
      <c r="Q52" s="1">
        <v>2</v>
      </c>
      <c r="R52" s="1">
        <f>IF(U51*(T51^3-T51-2)&gt;0,T51,R51)</f>
        <v>1.5</v>
      </c>
      <c r="S52" s="1">
        <f>IF(U51*(T51^3-T51-2)&lt;0,T51,S51)</f>
        <v>1.75</v>
      </c>
      <c r="T52" s="1">
        <f t="shared" ref="T52:T59" si="6">(R52+S52)/2</f>
        <v>1.625</v>
      </c>
      <c r="U52" s="1">
        <f t="shared" ref="U52:U59" si="7">R52^3-R52-2</f>
        <v>-0.125</v>
      </c>
      <c r="V52" s="1">
        <f t="shared" ref="V52:V59" si="8">T52^3-T52-2</f>
        <v>0.666015625</v>
      </c>
      <c r="W52" s="1">
        <f>ABS(T52-T51)/T52*100</f>
        <v>7.6923076923076925</v>
      </c>
    </row>
    <row r="53" spans="1:23" x14ac:dyDescent="0.25">
      <c r="A53" s="1">
        <v>3</v>
      </c>
      <c r="B53" s="1">
        <f t="shared" ref="B53:B56" si="9">IF(E52*(D52^3-D52-2)&gt;0,D52,B52)</f>
        <v>1.5</v>
      </c>
      <c r="C53" s="1">
        <f t="shared" ref="C53:C56" si="10">IF(E52*(D52^3-D52-2)&lt;0,D52,C52)</f>
        <v>2.25</v>
      </c>
      <c r="D53" s="1">
        <f t="shared" si="0"/>
        <v>1.875</v>
      </c>
      <c r="E53" s="1">
        <f t="shared" si="1"/>
        <v>-0.125</v>
      </c>
      <c r="F53" s="1">
        <f t="shared" si="2"/>
        <v>2.716796875</v>
      </c>
      <c r="G53" s="1">
        <f t="shared" ref="G53:G59" si="11">ABS(D53-D52)/D53*100</f>
        <v>20</v>
      </c>
      <c r="I53" s="1">
        <v>3</v>
      </c>
      <c r="J53" s="1">
        <f t="shared" ref="J53:J56" si="12">IF(M52*(L52^3-L52-2)&gt;0,L52,J52)</f>
        <v>7.25</v>
      </c>
      <c r="K53" s="1">
        <f t="shared" ref="K53:K56" si="13">IF(M52*(L52^3-L52-2)&lt;0,L52,K52)</f>
        <v>8</v>
      </c>
      <c r="L53" s="1">
        <f t="shared" si="3"/>
        <v>7.625</v>
      </c>
      <c r="M53" s="1">
        <f t="shared" si="4"/>
        <v>371.828125</v>
      </c>
      <c r="N53" s="1">
        <f t="shared" si="5"/>
        <v>433.697265625</v>
      </c>
      <c r="O53" s="1">
        <f t="shared" ref="O53:O59" si="14">ABS(L53-L52)/L53*100</f>
        <v>4.918032786885246</v>
      </c>
      <c r="Q53" s="1">
        <v>3</v>
      </c>
      <c r="R53" s="1">
        <f t="shared" ref="R53:R56" si="15">IF(U52*(T52^3-T52-2)&gt;0,T52,R52)</f>
        <v>1.5</v>
      </c>
      <c r="S53" s="1">
        <f t="shared" ref="S53:S56" si="16">IF(U52*(T52^3-T52-2)&lt;0,T52,S52)</f>
        <v>1.625</v>
      </c>
      <c r="T53" s="1">
        <f t="shared" si="6"/>
        <v>1.5625</v>
      </c>
      <c r="U53" s="1">
        <f t="shared" si="7"/>
        <v>-0.125</v>
      </c>
      <c r="V53" s="1">
        <f t="shared" si="8"/>
        <v>0.252197265625</v>
      </c>
      <c r="W53" s="1">
        <f t="shared" ref="W53:W59" si="17">ABS(T53-T52)/T53*100</f>
        <v>4</v>
      </c>
    </row>
    <row r="54" spans="1:23" x14ac:dyDescent="0.25">
      <c r="A54" s="1">
        <v>4</v>
      </c>
      <c r="B54" s="1">
        <f t="shared" si="9"/>
        <v>1.5</v>
      </c>
      <c r="C54" s="1">
        <f t="shared" si="10"/>
        <v>1.875</v>
      </c>
      <c r="D54" s="1">
        <f t="shared" si="0"/>
        <v>1.6875</v>
      </c>
      <c r="E54" s="1">
        <f t="shared" si="1"/>
        <v>-0.125</v>
      </c>
      <c r="F54" s="1">
        <f t="shared" si="2"/>
        <v>1.117919921875</v>
      </c>
      <c r="G54" s="1">
        <f t="shared" si="11"/>
        <v>11.111111111111111</v>
      </c>
      <c r="I54" s="1">
        <v>4</v>
      </c>
      <c r="J54" s="1">
        <f t="shared" si="12"/>
        <v>7.625</v>
      </c>
      <c r="K54" s="1">
        <f t="shared" si="13"/>
        <v>8</v>
      </c>
      <c r="L54" s="1">
        <f t="shared" si="3"/>
        <v>7.8125</v>
      </c>
      <c r="M54" s="1">
        <f t="shared" si="4"/>
        <v>433.697265625</v>
      </c>
      <c r="N54" s="1">
        <f t="shared" si="5"/>
        <v>467.024658203125</v>
      </c>
      <c r="O54" s="1">
        <f t="shared" si="14"/>
        <v>2.4</v>
      </c>
      <c r="Q54" s="1">
        <v>4</v>
      </c>
      <c r="R54" s="1">
        <f t="shared" si="15"/>
        <v>1.5</v>
      </c>
      <c r="S54" s="1">
        <f t="shared" si="16"/>
        <v>1.5625</v>
      </c>
      <c r="T54" s="1">
        <f t="shared" si="6"/>
        <v>1.53125</v>
      </c>
      <c r="U54" s="1">
        <f t="shared" si="7"/>
        <v>-0.125</v>
      </c>
      <c r="V54" s="1">
        <f t="shared" si="8"/>
        <v>5.9112548828125E-2</v>
      </c>
      <c r="W54" s="1">
        <f t="shared" si="17"/>
        <v>2.0408163265306123</v>
      </c>
    </row>
    <row r="55" spans="1:23" x14ac:dyDescent="0.25">
      <c r="A55" s="1">
        <v>5</v>
      </c>
      <c r="B55" s="1">
        <f t="shared" si="9"/>
        <v>1.5</v>
      </c>
      <c r="C55" s="1">
        <f t="shared" si="10"/>
        <v>1.6875</v>
      </c>
      <c r="D55" s="1">
        <f t="shared" si="0"/>
        <v>1.59375</v>
      </c>
      <c r="E55" s="1">
        <f t="shared" si="1"/>
        <v>-0.125</v>
      </c>
      <c r="F55" s="1">
        <f t="shared" si="2"/>
        <v>0.454437255859375</v>
      </c>
      <c r="G55" s="1">
        <f t="shared" si="11"/>
        <v>5.8823529411764701</v>
      </c>
      <c r="I55" s="1">
        <v>5</v>
      </c>
      <c r="J55" s="1">
        <f t="shared" si="12"/>
        <v>7.8125</v>
      </c>
      <c r="K55" s="1">
        <f t="shared" si="13"/>
        <v>8</v>
      </c>
      <c r="L55" s="1">
        <f t="shared" si="3"/>
        <v>7.90625</v>
      </c>
      <c r="M55" s="1">
        <f t="shared" si="4"/>
        <v>467.024658203125</v>
      </c>
      <c r="N55" s="1">
        <f t="shared" si="5"/>
        <v>484.30386352539063</v>
      </c>
      <c r="O55" s="1">
        <f t="shared" si="14"/>
        <v>1.1857707509881421</v>
      </c>
      <c r="Q55" s="1">
        <v>5</v>
      </c>
      <c r="R55" s="1">
        <f t="shared" si="15"/>
        <v>1.5</v>
      </c>
      <c r="S55" s="1">
        <f t="shared" si="16"/>
        <v>1.53125</v>
      </c>
      <c r="T55" s="1">
        <f t="shared" si="6"/>
        <v>1.515625</v>
      </c>
      <c r="U55" s="1">
        <f t="shared" si="7"/>
        <v>-0.125</v>
      </c>
      <c r="V55" s="1">
        <f t="shared" si="8"/>
        <v>-3.4053802490234375E-2</v>
      </c>
      <c r="W55" s="1">
        <f t="shared" si="17"/>
        <v>1.0309278350515463</v>
      </c>
    </row>
    <row r="56" spans="1:23" x14ac:dyDescent="0.25">
      <c r="A56" s="1">
        <v>6</v>
      </c>
      <c r="B56" s="1">
        <f t="shared" si="9"/>
        <v>1.5</v>
      </c>
      <c r="C56" s="1">
        <f t="shared" si="10"/>
        <v>1.59375</v>
      </c>
      <c r="D56" s="1">
        <f t="shared" si="0"/>
        <v>1.546875</v>
      </c>
      <c r="E56" s="1">
        <f t="shared" si="1"/>
        <v>-0.125</v>
      </c>
      <c r="F56" s="1">
        <f t="shared" si="2"/>
        <v>0.15452194213867188</v>
      </c>
      <c r="G56" s="1">
        <f t="shared" si="11"/>
        <v>3.0303030303030303</v>
      </c>
      <c r="I56" s="1">
        <v>6</v>
      </c>
      <c r="J56" s="1">
        <f t="shared" si="12"/>
        <v>7.90625</v>
      </c>
      <c r="K56" s="1">
        <f t="shared" si="13"/>
        <v>8</v>
      </c>
      <c r="L56" s="1">
        <f t="shared" si="3"/>
        <v>7.953125</v>
      </c>
      <c r="M56" s="1">
        <f t="shared" si="4"/>
        <v>484.30386352539063</v>
      </c>
      <c r="N56" s="1">
        <f t="shared" si="5"/>
        <v>493.09950637817383</v>
      </c>
      <c r="O56" s="1">
        <f t="shared" si="14"/>
        <v>0.58939096267190572</v>
      </c>
      <c r="Q56" s="1">
        <v>6</v>
      </c>
      <c r="R56" s="1">
        <f t="shared" si="15"/>
        <v>1.515625</v>
      </c>
      <c r="S56" s="1">
        <f t="shared" si="16"/>
        <v>1.53125</v>
      </c>
      <c r="T56" s="1">
        <f t="shared" si="6"/>
        <v>1.5234375</v>
      </c>
      <c r="U56" s="1">
        <f t="shared" si="7"/>
        <v>-3.4053802490234375E-2</v>
      </c>
      <c r="V56" s="1">
        <f t="shared" si="8"/>
        <v>1.2250423431396484E-2</v>
      </c>
      <c r="W56" s="1">
        <f t="shared" si="17"/>
        <v>0.51282051282051277</v>
      </c>
    </row>
    <row r="57" spans="1:23" x14ac:dyDescent="0.25">
      <c r="A57" s="1">
        <v>7</v>
      </c>
      <c r="B57" s="1">
        <f>IF(E56*(D56^3-D56-2)&gt;0,D56,B56)</f>
        <v>1.5</v>
      </c>
      <c r="C57" s="1">
        <f>IF(E56*(D56^3-D56-2)&lt;0,D56,C56)</f>
        <v>1.546875</v>
      </c>
      <c r="D57" s="1">
        <f t="shared" ref="D57:D59" si="18">(B57+C57)/2</f>
        <v>1.5234375</v>
      </c>
      <c r="E57" s="1">
        <f t="shared" ref="E57:E59" si="19">B57^3-B57-2</f>
        <v>-0.125</v>
      </c>
      <c r="F57" s="1">
        <f t="shared" ref="F57:F59" si="20">D57^3-D57-2</f>
        <v>1.2250423431396484E-2</v>
      </c>
      <c r="G57" s="1">
        <f t="shared" si="11"/>
        <v>1.5384615384615385</v>
      </c>
      <c r="I57" s="1">
        <v>7</v>
      </c>
      <c r="J57" s="1">
        <f>IF(M56*(L56^3-L56-2)&gt;0,L56,J56)</f>
        <v>7.953125</v>
      </c>
      <c r="K57" s="1">
        <f>IF(M56*(L56^3-L56-2)&lt;0,L56,K56)</f>
        <v>8</v>
      </c>
      <c r="L57" s="1">
        <f t="shared" si="3"/>
        <v>7.9765625</v>
      </c>
      <c r="M57" s="1">
        <f t="shared" si="4"/>
        <v>493.09950637817383</v>
      </c>
      <c r="N57" s="1">
        <f t="shared" si="5"/>
        <v>497.53660821914673</v>
      </c>
      <c r="O57" s="1">
        <f t="shared" si="14"/>
        <v>0.2938295788442703</v>
      </c>
      <c r="Q57" s="1">
        <v>7</v>
      </c>
      <c r="R57" s="1">
        <f>IF(U56*(T56^3-T56-2)&gt;0,T56,R56)</f>
        <v>1.515625</v>
      </c>
      <c r="S57" s="1">
        <f>IF(U56*(T56^3-T56-2)&lt;0,T56,S56)</f>
        <v>1.5234375</v>
      </c>
      <c r="T57" s="1">
        <f t="shared" si="6"/>
        <v>1.51953125</v>
      </c>
      <c r="U57" s="1">
        <f t="shared" si="7"/>
        <v>-3.4053802490234375E-2</v>
      </c>
      <c r="V57" s="1">
        <f t="shared" si="8"/>
        <v>-1.0971248149871826E-2</v>
      </c>
      <c r="W57" s="1">
        <f t="shared" si="17"/>
        <v>0.25706940874035988</v>
      </c>
    </row>
    <row r="58" spans="1:23" x14ac:dyDescent="0.25">
      <c r="A58" s="1">
        <v>8</v>
      </c>
      <c r="B58" s="1">
        <f t="shared" ref="B58:B59" si="21">IF(E57*(D57^3-D57-2)&gt;0,D57,B57)</f>
        <v>1.5</v>
      </c>
      <c r="C58" s="1">
        <f t="shared" ref="C58:C59" si="22">IF(E57*(D57^3-D57-2)&lt;0,D57,C57)</f>
        <v>1.5234375</v>
      </c>
      <c r="D58" s="6">
        <f t="shared" si="18"/>
        <v>1.51171875</v>
      </c>
      <c r="E58" s="1">
        <f t="shared" si="19"/>
        <v>-0.125</v>
      </c>
      <c r="F58" s="1">
        <f t="shared" si="20"/>
        <v>-5.6997597217559814E-2</v>
      </c>
      <c r="G58" s="1">
        <f t="shared" si="11"/>
        <v>0.77519379844961245</v>
      </c>
      <c r="I58" s="1">
        <v>8</v>
      </c>
      <c r="J58" s="1">
        <f t="shared" ref="J58:J59" si="23">IF(M57*(L57^3-L57-2)&gt;0,L57,J57)</f>
        <v>7.9765625</v>
      </c>
      <c r="K58" s="1">
        <f t="shared" ref="K58:K59" si="24">IF(M57*(L57^3-L57-2)&lt;0,L57,K57)</f>
        <v>8</v>
      </c>
      <c r="L58" s="1">
        <f t="shared" si="3"/>
        <v>7.98828125</v>
      </c>
      <c r="M58" s="1">
        <f t="shared" si="4"/>
        <v>497.53660821914673</v>
      </c>
      <c r="N58" s="1">
        <f t="shared" si="5"/>
        <v>499.76501303911209</v>
      </c>
      <c r="O58" s="1">
        <f t="shared" si="14"/>
        <v>0.14669926650366749</v>
      </c>
      <c r="Q58" s="1">
        <v>8</v>
      </c>
      <c r="R58" s="1">
        <f t="shared" ref="R58:R59" si="25">IF(U57*(T57^3-T57-2)&gt;0,T57,R57)</f>
        <v>1.51953125</v>
      </c>
      <c r="S58" s="1">
        <f t="shared" ref="S58:S59" si="26">IF(U57*(T57^3-T57-2)&lt;0,T57,S57)</f>
        <v>1.5234375</v>
      </c>
      <c r="T58" s="6">
        <f t="shared" si="6"/>
        <v>1.521484375</v>
      </c>
      <c r="U58" s="1">
        <f t="shared" si="7"/>
        <v>-1.0971248149871826E-2</v>
      </c>
      <c r="V58" s="1">
        <f t="shared" si="8"/>
        <v>6.2217563390731812E-4</v>
      </c>
      <c r="W58" s="1">
        <f t="shared" si="17"/>
        <v>0.12836970474967907</v>
      </c>
    </row>
    <row r="59" spans="1:23" x14ac:dyDescent="0.25">
      <c r="A59" s="1">
        <v>9</v>
      </c>
      <c r="B59" s="1">
        <f t="shared" si="21"/>
        <v>1.51171875</v>
      </c>
      <c r="C59" s="1">
        <f t="shared" si="22"/>
        <v>1.5234375</v>
      </c>
      <c r="D59" s="1">
        <f t="shared" si="18"/>
        <v>1.517578125</v>
      </c>
      <c r="E59" s="1">
        <f t="shared" si="19"/>
        <v>-5.6997597217559814E-2</v>
      </c>
      <c r="F59" s="1">
        <f t="shared" si="20"/>
        <v>-2.252989262342453E-2</v>
      </c>
      <c r="G59" s="1">
        <f t="shared" si="11"/>
        <v>0.38610038610038611</v>
      </c>
      <c r="I59" s="1">
        <v>9</v>
      </c>
      <c r="J59" s="1">
        <f t="shared" si="23"/>
        <v>7.98828125</v>
      </c>
      <c r="K59" s="1">
        <f t="shared" si="24"/>
        <v>8</v>
      </c>
      <c r="L59" s="1">
        <f t="shared" si="3"/>
        <v>7.994140625</v>
      </c>
      <c r="M59" s="1">
        <f t="shared" si="4"/>
        <v>499.76501303911209</v>
      </c>
      <c r="N59" s="1">
        <f t="shared" si="5"/>
        <v>500.8816831484437</v>
      </c>
      <c r="O59" s="1">
        <f t="shared" si="14"/>
        <v>7.3295870999267043E-2</v>
      </c>
      <c r="Q59" s="1">
        <v>9</v>
      </c>
      <c r="R59" s="1">
        <f t="shared" si="25"/>
        <v>1.51953125</v>
      </c>
      <c r="S59" s="1">
        <f t="shared" si="26"/>
        <v>1.521484375</v>
      </c>
      <c r="T59" s="1">
        <f t="shared" si="6"/>
        <v>1.5205078125</v>
      </c>
      <c r="U59" s="1">
        <f t="shared" si="7"/>
        <v>-1.0971248149871826E-2</v>
      </c>
      <c r="V59" s="1">
        <f t="shared" si="8"/>
        <v>-5.1788864657282829E-3</v>
      </c>
      <c r="W59" s="1">
        <f t="shared" si="17"/>
        <v>6.4226075786769421E-2</v>
      </c>
    </row>
    <row r="60" spans="1:23" x14ac:dyDescent="0.25">
      <c r="I60" s="1">
        <v>10</v>
      </c>
      <c r="J60" s="1">
        <f t="shared" ref="J60:J71" si="27">IF(M59*(L59^3-L59-2)&gt;0,L59,J59)</f>
        <v>7.994140625</v>
      </c>
      <c r="K60" s="1">
        <f t="shared" ref="K60:K71" si="28">IF(M59*(L59^3-L59-2)&lt;0,L59,K59)</f>
        <v>8</v>
      </c>
      <c r="L60" s="1">
        <f t="shared" ref="L60:L71" si="29">(J60+K60)/2</f>
        <v>7.9970703125</v>
      </c>
      <c r="M60" s="1">
        <f t="shared" ref="M60:M71" si="30">J60^3-J60-2</f>
        <v>500.8816831484437</v>
      </c>
      <c r="N60" s="1">
        <f t="shared" ref="N60:N71" si="31">L60^3-L60-2</f>
        <v>501.44063565600663</v>
      </c>
      <c r="O60" s="1">
        <f t="shared" ref="O60:O71" si="32">ABS(L60-L59)/L60*100</f>
        <v>3.6634509708145073E-2</v>
      </c>
    </row>
    <row r="61" spans="1:23" x14ac:dyDescent="0.25">
      <c r="I61" s="1">
        <v>11</v>
      </c>
      <c r="J61" s="1">
        <f t="shared" si="27"/>
        <v>7.9970703125</v>
      </c>
      <c r="K61" s="1">
        <f t="shared" si="28"/>
        <v>8</v>
      </c>
      <c r="L61" s="1">
        <f t="shared" si="29"/>
        <v>7.99853515625</v>
      </c>
      <c r="M61" s="1">
        <f t="shared" si="30"/>
        <v>501.44063565600663</v>
      </c>
      <c r="N61" s="1">
        <f t="shared" si="31"/>
        <v>501.72026633901987</v>
      </c>
      <c r="O61" s="1">
        <f t="shared" si="32"/>
        <v>1.831390025028997E-2</v>
      </c>
    </row>
    <row r="62" spans="1:23" x14ac:dyDescent="0.25">
      <c r="I62" s="1">
        <v>12</v>
      </c>
      <c r="J62" s="1">
        <f t="shared" si="27"/>
        <v>7.99853515625</v>
      </c>
      <c r="K62" s="1">
        <f t="shared" si="28"/>
        <v>8</v>
      </c>
      <c r="L62" s="1">
        <f t="shared" si="29"/>
        <v>7.999267578125</v>
      </c>
      <c r="M62" s="1">
        <f t="shared" si="30"/>
        <v>501.72026633901987</v>
      </c>
      <c r="N62" s="1">
        <f t="shared" si="31"/>
        <v>501.86012029608537</v>
      </c>
      <c r="O62" s="1">
        <f t="shared" si="32"/>
        <v>9.156111704562795E-3</v>
      </c>
      <c r="T62" t="s">
        <v>39</v>
      </c>
    </row>
    <row r="63" spans="1:23" x14ac:dyDescent="0.25">
      <c r="I63" s="1">
        <v>13</v>
      </c>
      <c r="J63" s="1">
        <f t="shared" si="27"/>
        <v>7.999267578125</v>
      </c>
      <c r="K63" s="1">
        <f t="shared" si="28"/>
        <v>8</v>
      </c>
      <c r="L63" s="1">
        <f t="shared" si="29"/>
        <v>7.9996337890625</v>
      </c>
      <c r="M63" s="1">
        <f t="shared" si="30"/>
        <v>501.86012029608537</v>
      </c>
      <c r="N63" s="1">
        <f t="shared" si="31"/>
        <v>501.93005692953921</v>
      </c>
      <c r="O63" s="1">
        <f t="shared" si="32"/>
        <v>4.5778462759220543E-3</v>
      </c>
    </row>
    <row r="64" spans="1:23" x14ac:dyDescent="0.25">
      <c r="I64" s="1">
        <v>14</v>
      </c>
      <c r="J64" s="1">
        <f t="shared" si="27"/>
        <v>7.9996337890625</v>
      </c>
      <c r="K64" s="1">
        <f t="shared" si="28"/>
        <v>8</v>
      </c>
      <c r="L64" s="1">
        <f t="shared" si="29"/>
        <v>7.99981689453125</v>
      </c>
      <c r="M64" s="1">
        <f t="shared" si="30"/>
        <v>501.93005692953921</v>
      </c>
      <c r="N64" s="1">
        <f t="shared" si="31"/>
        <v>501.96502766012532</v>
      </c>
      <c r="O64" s="1">
        <f t="shared" si="32"/>
        <v>2.2888707474688903E-3</v>
      </c>
    </row>
    <row r="65" spans="9:15" x14ac:dyDescent="0.25">
      <c r="I65" s="1">
        <v>15</v>
      </c>
      <c r="J65" s="1">
        <f t="shared" si="27"/>
        <v>7.99981689453125</v>
      </c>
      <c r="K65" s="1">
        <f t="shared" si="28"/>
        <v>8</v>
      </c>
      <c r="L65" s="1">
        <f t="shared" si="29"/>
        <v>7.999908447265625</v>
      </c>
      <c r="M65" s="1">
        <f t="shared" si="30"/>
        <v>501.96502766012532</v>
      </c>
      <c r="N65" s="1">
        <f t="shared" si="31"/>
        <v>501.98251362889926</v>
      </c>
      <c r="O65" s="1">
        <f t="shared" si="32"/>
        <v>1.1444222765610874E-3</v>
      </c>
    </row>
    <row r="66" spans="9:15" x14ac:dyDescent="0.25">
      <c r="I66" s="1">
        <v>16</v>
      </c>
      <c r="J66" s="1">
        <f t="shared" si="27"/>
        <v>7.999908447265625</v>
      </c>
      <c r="K66" s="1">
        <f t="shared" si="28"/>
        <v>8</v>
      </c>
      <c r="L66" s="1">
        <f t="shared" si="29"/>
        <v>7.9999542236328125</v>
      </c>
      <c r="M66" s="1">
        <f t="shared" si="30"/>
        <v>501.98251362889926</v>
      </c>
      <c r="N66" s="1">
        <f t="shared" si="31"/>
        <v>501.99125676415849</v>
      </c>
      <c r="O66" s="1">
        <f t="shared" si="32"/>
        <v>5.722078640434115E-4</v>
      </c>
    </row>
    <row r="67" spans="9:15" x14ac:dyDescent="0.25">
      <c r="I67" s="1">
        <v>17</v>
      </c>
      <c r="J67" s="1">
        <f t="shared" si="27"/>
        <v>7.9999542236328125</v>
      </c>
      <c r="K67" s="1">
        <f t="shared" si="28"/>
        <v>8</v>
      </c>
      <c r="L67" s="1">
        <f t="shared" si="29"/>
        <v>7.9999771118164063</v>
      </c>
      <c r="M67" s="1">
        <f t="shared" si="30"/>
        <v>501.99125676415849</v>
      </c>
      <c r="N67" s="1">
        <f t="shared" si="31"/>
        <v>501.99562836950645</v>
      </c>
      <c r="O67" s="1">
        <f t="shared" si="32"/>
        <v>2.8610311346944847E-4</v>
      </c>
    </row>
    <row r="68" spans="9:15" x14ac:dyDescent="0.25">
      <c r="I68" s="1">
        <v>18</v>
      </c>
      <c r="J68" s="1">
        <f t="shared" si="27"/>
        <v>7.9999771118164063</v>
      </c>
      <c r="K68" s="1">
        <f t="shared" si="28"/>
        <v>8</v>
      </c>
      <c r="L68" s="1">
        <f t="shared" si="29"/>
        <v>7.9999885559082031</v>
      </c>
      <c r="M68" s="1">
        <f t="shared" si="30"/>
        <v>501.99562836950645</v>
      </c>
      <c r="N68" s="1">
        <f t="shared" si="31"/>
        <v>501.99781418161001</v>
      </c>
      <c r="O68" s="1">
        <f t="shared" si="32"/>
        <v>1.4305135209753813E-4</v>
      </c>
    </row>
    <row r="69" spans="9:15" x14ac:dyDescent="0.25">
      <c r="I69" s="1">
        <v>19</v>
      </c>
      <c r="J69" s="1">
        <f t="shared" si="27"/>
        <v>7.9999885559082031</v>
      </c>
      <c r="K69" s="1">
        <f t="shared" si="28"/>
        <v>8</v>
      </c>
      <c r="L69" s="1">
        <f t="shared" si="29"/>
        <v>7.9999942779541016</v>
      </c>
      <c r="M69" s="1">
        <f t="shared" si="30"/>
        <v>501.99781418161001</v>
      </c>
      <c r="N69" s="1">
        <f t="shared" si="31"/>
        <v>501.9989070900192</v>
      </c>
      <c r="O69" s="1">
        <f t="shared" si="32"/>
        <v>7.1525624889582317E-5</v>
      </c>
    </row>
    <row r="70" spans="9:15" x14ac:dyDescent="0.25">
      <c r="I70" s="1">
        <v>20</v>
      </c>
      <c r="J70" s="1">
        <f t="shared" si="27"/>
        <v>7.9999942779541016</v>
      </c>
      <c r="K70" s="1">
        <f t="shared" si="28"/>
        <v>8</v>
      </c>
      <c r="L70" s="1">
        <f t="shared" si="29"/>
        <v>7.9999971389770508</v>
      </c>
      <c r="M70" s="1">
        <f t="shared" si="30"/>
        <v>501.9989070900192</v>
      </c>
      <c r="N70" s="1">
        <f t="shared" si="31"/>
        <v>501.99945354481315</v>
      </c>
      <c r="O70" s="1">
        <f t="shared" si="32"/>
        <v>3.5762799655008193E-5</v>
      </c>
    </row>
    <row r="71" spans="9:15" x14ac:dyDescent="0.25">
      <c r="I71" s="1">
        <v>21</v>
      </c>
      <c r="J71" s="1">
        <f t="shared" si="27"/>
        <v>7.9999971389770508</v>
      </c>
      <c r="K71" s="1">
        <f t="shared" si="28"/>
        <v>8</v>
      </c>
      <c r="L71" s="1">
        <f t="shared" si="29"/>
        <v>7.9999985694885254</v>
      </c>
      <c r="M71" s="1">
        <f t="shared" si="30"/>
        <v>501.99945354481315</v>
      </c>
      <c r="N71" s="1">
        <f t="shared" si="31"/>
        <v>501.99972677235746</v>
      </c>
      <c r="O71" s="1">
        <f t="shared" si="32"/>
        <v>1.7881396630060071E-5</v>
      </c>
    </row>
    <row r="74" spans="9:15" x14ac:dyDescent="0.25">
      <c r="L74" s="5" t="s">
        <v>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D6E5-B062-4B3A-926D-45A2724AE1D6}">
  <sheetPr codeName="Hoja4"/>
  <dimension ref="B47:P63"/>
  <sheetViews>
    <sheetView topLeftCell="A25" workbookViewId="0">
      <selection activeCell="F56" sqref="F56"/>
    </sheetView>
  </sheetViews>
  <sheetFormatPr baseColWidth="10" defaultRowHeight="15" x14ac:dyDescent="0.25"/>
  <cols>
    <col min="3" max="3" width="5.28515625" customWidth="1"/>
    <col min="8" max="8" width="18.140625" customWidth="1"/>
  </cols>
  <sheetData>
    <row r="47" spans="2:11" x14ac:dyDescent="0.25">
      <c r="B47" t="s">
        <v>9</v>
      </c>
      <c r="C47" t="s">
        <v>11</v>
      </c>
    </row>
    <row r="48" spans="2:11" x14ac:dyDescent="0.25">
      <c r="B48" t="s">
        <v>10</v>
      </c>
      <c r="C48" t="s">
        <v>12</v>
      </c>
      <c r="E48" t="s">
        <v>15</v>
      </c>
      <c r="F48" t="s">
        <v>16</v>
      </c>
      <c r="H48" t="s">
        <v>22</v>
      </c>
      <c r="J48" t="s">
        <v>5</v>
      </c>
      <c r="K48" t="s">
        <v>24</v>
      </c>
    </row>
    <row r="49" spans="2:16" x14ac:dyDescent="0.25">
      <c r="B49" t="s">
        <v>14</v>
      </c>
      <c r="E49" t="s">
        <v>17</v>
      </c>
      <c r="F49" t="s">
        <v>23</v>
      </c>
    </row>
    <row r="50" spans="2:16" x14ac:dyDescent="0.25">
      <c r="B50" t="s">
        <v>13</v>
      </c>
      <c r="E50" t="s">
        <v>18</v>
      </c>
      <c r="F50">
        <v>2</v>
      </c>
    </row>
    <row r="52" spans="2:16" x14ac:dyDescent="0.25">
      <c r="M52" t="s">
        <v>41</v>
      </c>
    </row>
    <row r="54" spans="2:16" x14ac:dyDescent="0.25">
      <c r="D54" s="5" t="s">
        <v>19</v>
      </c>
      <c r="E54" s="5" t="s">
        <v>20</v>
      </c>
      <c r="F54" s="5" t="s">
        <v>15</v>
      </c>
      <c r="G54" s="5" t="s">
        <v>17</v>
      </c>
      <c r="H54" s="5" t="s">
        <v>21</v>
      </c>
      <c r="I54" s="5" t="s">
        <v>5</v>
      </c>
      <c r="K54" s="5" t="s">
        <v>19</v>
      </c>
      <c r="L54" s="5" t="s">
        <v>20</v>
      </c>
      <c r="M54" s="5" t="s">
        <v>15</v>
      </c>
      <c r="N54" s="5" t="s">
        <v>17</v>
      </c>
      <c r="O54" s="5" t="s">
        <v>21</v>
      </c>
      <c r="P54" s="5" t="s">
        <v>5</v>
      </c>
    </row>
    <row r="55" spans="2:16" x14ac:dyDescent="0.25">
      <c r="D55">
        <v>1</v>
      </c>
      <c r="E55">
        <v>2</v>
      </c>
      <c r="F55">
        <f>POWER(E55,3)-(E55)-1</f>
        <v>5</v>
      </c>
      <c r="G55">
        <f>3*POWER(E55,2)-1</f>
        <v>11</v>
      </c>
      <c r="H55">
        <f>E55-(F55/G55)</f>
        <v>1.5454545454545454</v>
      </c>
      <c r="K55">
        <v>1</v>
      </c>
      <c r="L55">
        <v>-2</v>
      </c>
      <c r="M55">
        <f>POWER(L55,3)-(L55)-1</f>
        <v>-7</v>
      </c>
      <c r="N55">
        <f>3*POWER(L55,2)-1</f>
        <v>11</v>
      </c>
      <c r="O55">
        <f>L55-(M55/N55)</f>
        <v>-1.3636363636363638</v>
      </c>
    </row>
    <row r="56" spans="2:16" x14ac:dyDescent="0.25">
      <c r="D56">
        <v>2</v>
      </c>
      <c r="E56">
        <f>H55</f>
        <v>1.5454545454545454</v>
      </c>
      <c r="F56">
        <f t="shared" ref="F56:F60" si="0">POWER(E56,3)-(E56)-1</f>
        <v>1.1457550713749058</v>
      </c>
      <c r="G56">
        <f t="shared" ref="G56:G60" si="1">3*POWER(E56,2)-1</f>
        <v>6.1652892561983466</v>
      </c>
      <c r="H56">
        <f t="shared" ref="H56:H60" si="2">E56-(F56/G56)</f>
        <v>1.359614915915184</v>
      </c>
      <c r="I56">
        <f>ABS((H56-H55)/H56)*100</f>
        <v>13.668548893071611</v>
      </c>
      <c r="K56">
        <v>2</v>
      </c>
      <c r="L56">
        <f>O55</f>
        <v>-1.3636363636363638</v>
      </c>
      <c r="M56">
        <f t="shared" ref="M56:M60" si="3">POWER(L56,3)-(L56)-1</f>
        <v>-2.172051089406462</v>
      </c>
      <c r="N56">
        <f t="shared" ref="N56:N60" si="4">3*POWER(L56,2)-1</f>
        <v>4.5785123966942152</v>
      </c>
      <c r="O56">
        <f t="shared" ref="O56:O60" si="5">L56-(M56/N56)</f>
        <v>-0.88923531342303908</v>
      </c>
      <c r="P56">
        <f>ABS((O56-O55)/O56)*100</f>
        <v>53.34932644399337</v>
      </c>
    </row>
    <row r="57" spans="2:16" x14ac:dyDescent="0.25">
      <c r="D57">
        <v>3</v>
      </c>
      <c r="E57">
        <f t="shared" ref="E57:E60" si="6">H56</f>
        <v>1.359614915915184</v>
      </c>
      <c r="F57">
        <f t="shared" si="0"/>
        <v>0.15370493448007472</v>
      </c>
      <c r="G57">
        <f t="shared" si="1"/>
        <v>4.5456581587371589</v>
      </c>
      <c r="H57">
        <f t="shared" si="2"/>
        <v>1.325801345005845</v>
      </c>
      <c r="I57">
        <f t="shared" ref="I57:I60" si="7">ABS((H57-H56)/H57)*100</f>
        <v>2.5504251475314299</v>
      </c>
      <c r="K57">
        <v>3</v>
      </c>
      <c r="L57">
        <f t="shared" ref="L57:L60" si="8">O56</f>
        <v>-0.88923531342303908</v>
      </c>
      <c r="M57">
        <f t="shared" si="3"/>
        <v>-0.81391812268762942</v>
      </c>
      <c r="N57">
        <f t="shared" si="4"/>
        <v>1.3722183279157116</v>
      </c>
      <c r="O57">
        <f t="shared" si="5"/>
        <v>-0.29609491722682657</v>
      </c>
      <c r="P57">
        <f t="shared" ref="P57:P60" si="9">ABS((O57-O56)/O57)*100</f>
        <v>200.32103277944185</v>
      </c>
    </row>
    <row r="58" spans="2:16" x14ac:dyDescent="0.25">
      <c r="D58">
        <v>4</v>
      </c>
      <c r="E58">
        <f t="shared" si="6"/>
        <v>1.325801345005845</v>
      </c>
      <c r="F58">
        <f t="shared" si="0"/>
        <v>4.6249170478298574E-3</v>
      </c>
      <c r="G58">
        <f t="shared" si="1"/>
        <v>4.2732476192579227</v>
      </c>
      <c r="H58">
        <f t="shared" si="2"/>
        <v>1.3247190494171253</v>
      </c>
      <c r="I58">
        <f t="shared" si="7"/>
        <v>8.1700009462078713E-2</v>
      </c>
      <c r="K58">
        <v>4</v>
      </c>
      <c r="L58">
        <f t="shared" si="8"/>
        <v>-0.29609491722682657</v>
      </c>
      <c r="M58">
        <f t="shared" si="3"/>
        <v>-0.72986437557750605</v>
      </c>
      <c r="N58">
        <f t="shared" si="4"/>
        <v>-0.7369833999773161</v>
      </c>
      <c r="O58">
        <f t="shared" si="5"/>
        <v>-1.2864352364252927</v>
      </c>
      <c r="P58">
        <f t="shared" si="9"/>
        <v>76.983301697362847</v>
      </c>
    </row>
    <row r="59" spans="2:16" x14ac:dyDescent="0.25">
      <c r="D59">
        <v>5</v>
      </c>
      <c r="E59" s="7">
        <f t="shared" si="6"/>
        <v>1.3247190494171253</v>
      </c>
      <c r="F59">
        <f t="shared" si="0"/>
        <v>4.6577191092911363E-6</v>
      </c>
      <c r="G59">
        <f t="shared" si="1"/>
        <v>4.2646416796658357</v>
      </c>
      <c r="H59" s="5">
        <f t="shared" si="2"/>
        <v>1.3247179572458576</v>
      </c>
      <c r="I59">
        <f t="shared" si="7"/>
        <v>8.2445569766240252E-5</v>
      </c>
      <c r="K59">
        <v>5</v>
      </c>
      <c r="L59" s="7">
        <f t="shared" si="8"/>
        <v>-1.2864352364252927</v>
      </c>
      <c r="M59">
        <f t="shared" si="3"/>
        <v>-1.8425065272585823</v>
      </c>
      <c r="N59">
        <f t="shared" si="4"/>
        <v>3.964746852549796</v>
      </c>
      <c r="O59">
        <f t="shared" si="5"/>
        <v>-0.82171287311131835</v>
      </c>
      <c r="P59">
        <f t="shared" si="9"/>
        <v>56.55532224466171</v>
      </c>
    </row>
    <row r="60" spans="2:16" x14ac:dyDescent="0.25">
      <c r="D60">
        <v>6</v>
      </c>
      <c r="E60">
        <f t="shared" si="6"/>
        <v>1.3247179572458576</v>
      </c>
      <c r="F60">
        <f t="shared" si="0"/>
        <v>4.7404302705444934E-12</v>
      </c>
      <c r="G60">
        <f t="shared" si="1"/>
        <v>4.2646329987489136</v>
      </c>
      <c r="H60">
        <f t="shared" si="2"/>
        <v>1.3247179572447461</v>
      </c>
      <c r="I60">
        <f t="shared" si="7"/>
        <v>8.3908826492139356E-11</v>
      </c>
      <c r="K60">
        <v>6</v>
      </c>
      <c r="L60">
        <f t="shared" si="8"/>
        <v>-0.82171287311131835</v>
      </c>
      <c r="M60">
        <f t="shared" si="3"/>
        <v>-0.73311755703265702</v>
      </c>
      <c r="N60">
        <f t="shared" si="4"/>
        <v>1.0256361375105727</v>
      </c>
      <c r="O60">
        <f t="shared" si="5"/>
        <v>-0.10691984835296464</v>
      </c>
      <c r="P60">
        <f t="shared" si="9"/>
        <v>668.53164849118878</v>
      </c>
    </row>
    <row r="63" spans="2:16" x14ac:dyDescent="0.25">
      <c r="M63" t="s">
        <v>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12FA-B726-4E05-AC3B-7E13D29C6661}">
  <sheetPr codeName="Hoja5"/>
  <dimension ref="A45:G58"/>
  <sheetViews>
    <sheetView tabSelected="1" topLeftCell="A31" zoomScale="115" zoomScaleNormal="115" workbookViewId="0">
      <selection activeCell="F53" sqref="F53"/>
    </sheetView>
  </sheetViews>
  <sheetFormatPr baseColWidth="10" defaultRowHeight="15" x14ac:dyDescent="0.25"/>
  <sheetData>
    <row r="45" spans="1:1" x14ac:dyDescent="0.25">
      <c r="A45" t="s">
        <v>47</v>
      </c>
    </row>
    <row r="49" spans="1:7" x14ac:dyDescent="0.25">
      <c r="A49" s="8" t="s">
        <v>32</v>
      </c>
      <c r="B49" s="8" t="s">
        <v>43</v>
      </c>
      <c r="C49" s="8" t="s">
        <v>44</v>
      </c>
      <c r="D49" s="8" t="s">
        <v>45</v>
      </c>
      <c r="E49" s="8" t="s">
        <v>48</v>
      </c>
      <c r="F49" s="8" t="s">
        <v>49</v>
      </c>
      <c r="G49" s="8" t="s">
        <v>46</v>
      </c>
    </row>
    <row r="50" spans="1:7" x14ac:dyDescent="0.25">
      <c r="A50">
        <v>1</v>
      </c>
      <c r="B50">
        <v>2.5</v>
      </c>
      <c r="C50">
        <v>3</v>
      </c>
      <c r="D50">
        <f>POWER(C50,3)-3*C50-3</f>
        <v>15</v>
      </c>
      <c r="E50">
        <f>POWER(B50,3)-3*B50-3</f>
        <v>5.125</v>
      </c>
      <c r="F50">
        <f>C50-((D50*(B50-C50))/(E50-D50))</f>
        <v>2.240506329113924</v>
      </c>
    </row>
    <row r="51" spans="1:7" x14ac:dyDescent="0.25">
      <c r="A51">
        <v>2</v>
      </c>
      <c r="B51">
        <f>F50</f>
        <v>2.240506329113924</v>
      </c>
      <c r="C51">
        <f>B50</f>
        <v>2.5</v>
      </c>
      <c r="D51">
        <f t="shared" ref="D51:D54" si="0">POWER(C51,3)-3*C51-3</f>
        <v>5.125</v>
      </c>
      <c r="E51">
        <f t="shared" ref="E51:E53" si="1">POWER(B51,3)-3*B51-3</f>
        <v>1.5255284064749439</v>
      </c>
      <c r="F51">
        <f t="shared" ref="F51:F53" si="2">C51-((D51*(B51-C51))/(E51-D51))</f>
        <v>2.1305276958752914</v>
      </c>
      <c r="G51">
        <f>(ABS(F50-F51)/F50)*100</f>
        <v>4.9086508620632605</v>
      </c>
    </row>
    <row r="52" spans="1:7" x14ac:dyDescent="0.25">
      <c r="A52">
        <v>3</v>
      </c>
      <c r="B52">
        <f t="shared" ref="B52:B54" si="3">F51</f>
        <v>2.1305276958752914</v>
      </c>
      <c r="C52">
        <f t="shared" ref="C52:C54" si="4">B51</f>
        <v>2.240506329113924</v>
      </c>
      <c r="D52">
        <f t="shared" si="0"/>
        <v>1.5255284064749439</v>
      </c>
      <c r="E52">
        <f t="shared" si="1"/>
        <v>0.27919800214906498</v>
      </c>
      <c r="F52">
        <f t="shared" si="2"/>
        <v>2.1058907179337005</v>
      </c>
      <c r="G52">
        <f t="shared" ref="G52:G54" si="5">(ABS(F51-F52)/F51)*100</f>
        <v>1.1563791444386378</v>
      </c>
    </row>
    <row r="53" spans="1:7" x14ac:dyDescent="0.25">
      <c r="A53">
        <v>4</v>
      </c>
      <c r="B53">
        <f t="shared" si="3"/>
        <v>2.1058907179337005</v>
      </c>
      <c r="C53">
        <f t="shared" si="4"/>
        <v>2.1305276958752914</v>
      </c>
      <c r="D53">
        <f t="shared" si="0"/>
        <v>0.27919800214906498</v>
      </c>
      <c r="E53">
        <f t="shared" si="1"/>
        <v>2.1480862386933808E-2</v>
      </c>
      <c r="F53" s="5">
        <f t="shared" si="2"/>
        <v>2.1038372125545792</v>
      </c>
      <c r="G53">
        <f t="shared" si="5"/>
        <v>9.7512437926323164E-2</v>
      </c>
    </row>
    <row r="54" spans="1:7" x14ac:dyDescent="0.25">
      <c r="A54">
        <v>5</v>
      </c>
      <c r="B54">
        <f t="shared" si="3"/>
        <v>2.1038372125545792</v>
      </c>
      <c r="C54">
        <f t="shared" si="4"/>
        <v>2.1058907179337005</v>
      </c>
      <c r="D54">
        <f t="shared" si="0"/>
        <v>2.1480862386933808E-2</v>
      </c>
      <c r="E54">
        <f t="shared" ref="E54" si="6">POWER(B54,3)-3*B54-3</f>
        <v>3.4750339442268796E-4</v>
      </c>
      <c r="F54">
        <f t="shared" ref="F54" si="7">C54-((D54*(B54-C54))/(E54-D54))</f>
        <v>2.1038034460298181</v>
      </c>
      <c r="G54">
        <f t="shared" si="5"/>
        <v>1.6049970292220789E-3</v>
      </c>
    </row>
    <row r="55" spans="1:7" x14ac:dyDescent="0.25">
      <c r="A55">
        <v>6</v>
      </c>
    </row>
    <row r="56" spans="1:7" x14ac:dyDescent="0.25">
      <c r="A56">
        <v>7</v>
      </c>
    </row>
    <row r="57" spans="1:7" x14ac:dyDescent="0.25">
      <c r="A57">
        <v>8</v>
      </c>
    </row>
    <row r="58" spans="1:7" x14ac:dyDescent="0.25">
      <c r="A58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Menu</vt:lpstr>
      <vt:lpstr>Biseccion</vt:lpstr>
      <vt:lpstr>Falsa posicion</vt:lpstr>
      <vt:lpstr>Newton</vt:lpstr>
      <vt:lpstr>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Islas quintos</dc:creator>
  <cp:lastModifiedBy>Emanuel Islas quintos</cp:lastModifiedBy>
  <dcterms:created xsi:type="dcterms:W3CDTF">2026-02-12T13:05:10Z</dcterms:created>
  <dcterms:modified xsi:type="dcterms:W3CDTF">2026-02-19T06:34:13Z</dcterms:modified>
</cp:coreProperties>
</file>